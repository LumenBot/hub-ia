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Pessimiste" sheetId="2" state="visible" r:id="rId4"/>
    <sheet name="Median" sheetId="3" state="visible" r:id="rId5"/>
    <sheet name="Optimiste" sheetId="4" state="visible" r:id="rId6"/>
    <sheet name="Synthe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<sst xmlns="http://schemas.openxmlformats.org/spreadsheetml/2006/main" count="249" uniqueCount="127">
  <si>
    <t xml:space="preserve">Hub v2 — Previsionnel financier v1 — Hypotheses</t>
  </si>
  <si>
    <t xml:space="preserve">Hypothese</t>
  </si>
  <si>
    <t xml:space="preserve">Pessimiste</t>
  </si>
  <si>
    <t xml:space="preserve">Median</t>
  </si>
  <si>
    <t xml:space="preserve">Optimiste</t>
  </si>
  <si>
    <t xml:space="preserve">Commentaire</t>
  </si>
  <si>
    <t xml:space="preserve">Pricing Pro mensuel TTC (EUR)</t>
  </si>
  <si>
    <t xml:space="preserve">Validé note pricing Hub IA 25 mai 2026</t>
  </si>
  <si>
    <t xml:space="preserve">Pricing Pro mensuel HT (EUR)</t>
  </si>
  <si>
    <t xml:space="preserve">Pricing Equipe par siege HT (EUR/mois)</t>
  </si>
  <si>
    <t xml:space="preserve">ACQUISITION &amp; CONVERSION</t>
  </si>
  <si>
    <t xml:space="preserve">Inscriptions Free annuelles (an 1)</t>
  </si>
  <si>
    <t xml:space="preserve">Croissance inscriptions Free an 2</t>
  </si>
  <si>
    <t xml:space="preserve">Croissance inscriptions Free an 3</t>
  </si>
  <si>
    <t xml:space="preserve">Taux conversion Free -&gt; Pro (% global)</t>
  </si>
  <si>
    <t xml:space="preserve">Sources : benchmarks SaaS B2B/B2C 2026</t>
  </si>
  <si>
    <t xml:space="preserve">Churn mensuel Pro</t>
  </si>
  <si>
    <t xml:space="preserve">B2B 3-5%/mois, B2C 5-7%/mois</t>
  </si>
  <si>
    <t xml:space="preserve">CAC moyen (EUR)</t>
  </si>
  <si>
    <t xml:space="preserve">Réf. CAC B2B 2026 : 500-650 €</t>
  </si>
  <si>
    <t xml:space="preserve">TIER EQUIPE (active des Etape 5 / mois 4 post-T0)</t>
  </si>
  <si>
    <t xml:space="preserve">% Pro convertissant en Equipe</t>
  </si>
  <si>
    <t xml:space="preserve">Nb sieges moyen par compte Equipe</t>
  </si>
  <si>
    <t xml:space="preserve">COUTS UNITAIRES</t>
  </si>
  <si>
    <t xml:space="preserve">Cout LLM moyen par Pro/mois (EUR)</t>
  </si>
  <si>
    <t xml:space="preserve">Mix Mistral Large 3 + Medium + Small</t>
  </si>
  <si>
    <t xml:space="preserve">Cout LLM moyen par Free/mois (EUR)</t>
  </si>
  <si>
    <t xml:space="preserve">% Free actifs consommant LLM</t>
  </si>
  <si>
    <t xml:space="preserve">Frais Stripe (% du CA Pro+Equipe)</t>
  </si>
  <si>
    <t xml:space="preserve">COUTS FIXES MENSUELS (EUR)</t>
  </si>
  <si>
    <t xml:space="preserve">Infrastructure amorcage (M1-M6)</t>
  </si>
  <si>
    <t xml:space="preserve">Infrastructure croissance (M7-M18)</t>
  </si>
  <si>
    <t xml:space="preserve">Infrastructure maturation (M19-M36)</t>
  </si>
  <si>
    <t xml:space="preserve">Outils + marketing fixe</t>
  </si>
  <si>
    <t xml:space="preserve">CHARGES JURIDIQUES (EUR, ponctuelles)</t>
  </si>
  <si>
    <t xml:space="preserve">Consult avocat + audit RGPD (M1-M3)</t>
  </si>
  <si>
    <t xml:space="preserve">CGV Pro + dossier IP (M6-M9)</t>
  </si>
  <si>
    <t xml:space="preserve">Convention QFC + structure juridique (M9-M12)</t>
  </si>
  <si>
    <t xml:space="preserve">DPA + ajustements (M15-M18)</t>
  </si>
  <si>
    <t xml:space="preserve">REDEVANCE QFC (piste B)</t>
  </si>
  <si>
    <t xml:space="preserve">Taux redevance sur CA HT</t>
  </si>
  <si>
    <t xml:space="preserve">Point médian fourchette 10-15%</t>
  </si>
  <si>
    <t xml:space="preserve">Demarrage redevance (mois post-T0)</t>
  </si>
  <si>
    <t xml:space="preserve">Hub v2 — P&amp;L mensuel — Scenario Pessimiste</t>
  </si>
  <si>
    <t xml:space="preserve">Poste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</si>
  <si>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</si>
  <si>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</si>
  <si>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</si>
  <si>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</si>
  <si>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</si>
  <si>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</si>
  <si>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</si>
  <si>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</si>
  <si>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</si>
  <si>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</si>
  <si>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</si>
  <si>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</si>
  <si>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</si>
  <si>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</si>
  <si>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</si>
  <si>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</si>
  <si>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</si>
  <si>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</si>
  <si>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</si>
  <si>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</si>
  <si>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</si>
  <si>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</si>
  <si>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</si>
  <si>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</si>
  <si>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</si>
  <si>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</si>
  <si>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</si>
  <si>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</si>
  <si>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</si>
  <si>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</si>
  <si>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</si>
  <si>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</si>
  <si>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</si>
  <si>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</si>
  <si>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</si>
  <si>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</si>
  <si>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</si>
  <si>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Inscriptions Free mensuelles</t>
  </si>
  <si>
    <t xml:space="preserve">Inscriptions Free cumulees</t>
  </si>
  <si>
    <t xml:space="preserve">Nouveaux Pro mensuels</t>
  </si>
  <si>
    <t xml:space="preserve">Pro actifs nets (avec churn)</t>
  </si>
  <si>
    <t xml:space="preserve">Pro actifs (arrondi)</t>
  </si>
  <si>
    <t xml:space="preserve">Comptes Equipe</t>
  </si>
  <si>
    <t xml:space="preserve">Sieges Equipe</t>
  </si>
  <si>
    <t xml:space="preserve">Revenu Pro mensuel HT (EUR)</t>
  </si>
  <si>
    <t xml:space="preserve">Revenu Equipe mensuel HT (EUR)</t>
  </si>
  <si>
    <t xml:space="preserve">TOTAL REVENU MENSUEL HT (EUR)</t>
  </si>
  <si>
    <t xml:space="preserve">ARR HT (EUR)</t>
  </si>
  <si>
    <t xml:space="preserve">Cout LLM Pro mensuel (EUR)</t>
  </si>
  <si>
    <t xml:space="preserve">Cout LLM Free mensuel (EUR)</t>
  </si>
  <si>
    <t xml:space="preserve">Frais Stripe mensuel (EUR)</t>
  </si>
  <si>
    <t xml:space="preserve">MARGE BRUTE MENSUELLE (EUR)</t>
  </si>
  <si>
    <t xml:space="preserve">Couts fixes mensuels (EUR)</t>
  </si>
  <si>
    <t xml:space="preserve">Cout d'acquisition mensuel (EUR)</t>
  </si>
  <si>
    <t xml:space="preserve">Charges juridiques ponctuelles (EUR)</t>
  </si>
  <si>
    <t xml:space="preserve">Redevance QFC (piste B) mensuelle (EUR)</t>
  </si>
  <si>
    <t xml:space="preserve">RESULTAT OPERATIONNEL MENSUEL (EUR)</t>
  </si>
  <si>
    <t xml:space="preserve">CASH FLOW CUMULE (EUR)</t>
  </si>
  <si>
    <t xml:space="preserve">Hub v2 — P&amp;L mensuel — Scenario Median</t>
  </si>
  <si>
    <t xml:space="preserve">Hub v2 — P&amp;L mensuel — Scenario Optimiste</t>
  </si>
  <si>
    <t xml:space="preserve">Hub v2 — Synthese comparee des 3 scenarios</t>
  </si>
  <si>
    <t xml:space="preserve">Metrique</t>
  </si>
  <si>
    <t xml:space="preserve">ARR M12 (EUR)</t>
  </si>
  <si>
    <t xml:space="preserve">12 mois post T0</t>
  </si>
  <si>
    <t xml:space="preserve">ARR M24 (EUR)</t>
  </si>
  <si>
    <t xml:space="preserve">24 mois post T0 — cible plan</t>
  </si>
  <si>
    <t xml:space="preserve">ARR M36 (EUR)</t>
  </si>
  <si>
    <t xml:space="preserve">36 mois post T0</t>
  </si>
  <si>
    <t xml:space="preserve">Pro actifs M24</t>
  </si>
  <si>
    <t xml:space="preserve">Comptes Equipe M24</t>
  </si>
  <si>
    <t xml:space="preserve">Cash flow cumule M24 (EUR)</t>
  </si>
  <si>
    <t xml:space="preserve">Investissement personnel Cavalli requis si &lt;0</t>
  </si>
  <si>
    <t xml:space="preserve">Cash flow cumule M36 (EUR)</t>
  </si>
  <si>
    <t xml:space="preserve">Resultat operationnel M24 (EUR)</t>
  </si>
  <si>
    <t xml:space="preserve">Resultat operationnel M36 (EUR)</t>
  </si>
  <si>
    <t xml:space="preserve">RATIOS UNITAIRES</t>
  </si>
  <si>
    <t xml:space="preserve">ARPU mensuel HT Pro (EUR)</t>
  </si>
  <si>
    <t xml:space="preserve">Duree moyenne abonnement (mois)</t>
  </si>
  <si>
    <t xml:space="preserve">LTV (EUR)</t>
  </si>
  <si>
    <t xml:space="preserve">CAC (EUR)</t>
  </si>
  <si>
    <t xml:space="preserve">Ratio LTV:CAC</t>
  </si>
  <si>
    <t xml:space="preserve">Cible SaaS B2B : &gt;= 3:1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</si>
</sst>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"/>
    <numFmt numFmtId="166" formatCode="0.0%"/>
    <numFmt numFmtId="167" formatCode="#,##0"/>
    <numFmt numFmtId="168" formatCode="#,##0.0"/>
    <numFmt numFmtId="169" formatCode="#,##0&quot; €&quot;;\(#,##0&quot; €)&quot;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4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5" customFormat="false" ht="15" hidden="false" customHeight="false" outlineLevel="0" collapsed="false">
      <c r="A5" s="0" t="s">
        <v>6</v>
      </c>
      <c r="B5" s="3" t="n">
        <v>29</v>
      </c>
      <c r="C5" s="3" t="n">
        <v>29</v>
      </c>
      <c r="D5" s="3" t="n">
        <v>29</v>
      </c>
      <c r="E5" s="4" t="s">
        <v>7</v>
      </c>
    </row>
    <row r="6" customFormat="false" ht="15" hidden="false" customHeight="false" outlineLevel="0" collapsed="false">
      <c r="A6" s="0" t="s">
        <v>8</v>
      </c>
      <c r="B6" s="5" t="n">
        <f aca="false">B5/1.2</f>
        <v>24.1666666666667</v>
      </c>
      <c r="C6" s="5" t="n">
        <f aca="false">C5/1.2</f>
        <v>24.1666666666667</v>
      </c>
      <c r="D6" s="5" t="n">
        <f aca="false">D5/1.2</f>
        <v>24.1666666666667</v>
      </c>
    </row>
    <row r="7" customFormat="false" ht="15" hidden="false" customHeight="false" outlineLevel="0" collapsed="false">
      <c r="A7" s="0" t="s">
        <v>9</v>
      </c>
      <c r="B7" s="3" t="n">
        <f aca="false">19/1.2</f>
        <v>15.8333333333333</v>
      </c>
      <c r="C7" s="3" t="n">
        <f aca="false">19/1.2</f>
        <v>15.8333333333333</v>
      </c>
      <c r="D7" s="3" t="n">
        <f aca="false">19/1.2</f>
        <v>15.8333333333333</v>
      </c>
    </row>
    <row r="9" customFormat="false" ht="15" hidden="false" customHeight="false" outlineLevel="0" collapsed="false">
      <c r="A9" s="6" t="s">
        <v>10</v>
      </c>
    </row>
    <row r="10" customFormat="false" ht="15" hidden="false" customHeight="false" outlineLevel="0" collapsed="false">
      <c r="A10" s="0" t="s">
        <v>11</v>
      </c>
      <c r="B10" s="7" t="n">
        <v>1300</v>
      </c>
      <c r="C10" s="7" t="n">
        <v>5800</v>
      </c>
      <c r="D10" s="7" t="n">
        <v>16000</v>
      </c>
    </row>
    <row r="11" customFormat="false" ht="15" hidden="false" customHeight="false" outlineLevel="0" collapsed="false">
      <c r="A11" s="0" t="s">
        <v>12</v>
      </c>
      <c r="B11" s="8" t="n">
        <v>0.5</v>
      </c>
      <c r="C11" s="8" t="n">
        <v>1</v>
      </c>
      <c r="D11" s="8" t="n">
        <v>1.5</v>
      </c>
    </row>
    <row r="12" customFormat="false" ht="15" hidden="false" customHeight="false" outlineLevel="0" collapsed="false">
      <c r="A12" s="0" t="s">
        <v>13</v>
      </c>
      <c r="B12" s="8" t="n">
        <v>0.3</v>
      </c>
      <c r="C12" s="8" t="n">
        <v>0.6</v>
      </c>
      <c r="D12" s="8" t="n">
        <v>0.8</v>
      </c>
    </row>
    <row r="13" customFormat="false" ht="15" hidden="false" customHeight="false" outlineLevel="0" collapsed="false">
      <c r="A13" s="0" t="s">
        <v>14</v>
      </c>
      <c r="B13" s="8" t="n">
        <v>0.01</v>
      </c>
      <c r="C13" s="8" t="n">
        <v>0.03</v>
      </c>
      <c r="D13" s="8" t="n">
        <v>0.05</v>
      </c>
      <c r="E13" s="4" t="s">
        <v>15</v>
      </c>
    </row>
    <row r="14" customFormat="false" ht="15" hidden="false" customHeight="false" outlineLevel="0" collapsed="false">
      <c r="A14" s="0" t="s">
        <v>16</v>
      </c>
      <c r="B14" s="8" t="n">
        <v>0.07</v>
      </c>
      <c r="C14" s="8" t="n">
        <v>0.05</v>
      </c>
      <c r="D14" s="8" t="n">
        <v>0.03</v>
      </c>
      <c r="E14" s="4" t="s">
        <v>17</v>
      </c>
    </row>
    <row r="15" customFormat="false" ht="15" hidden="false" customHeight="false" outlineLevel="0" collapsed="false">
      <c r="A15" s="0" t="s">
        <v>18</v>
      </c>
      <c r="B15" s="3" t="n">
        <v>800</v>
      </c>
      <c r="C15" s="3" t="n">
        <v>400</v>
      </c>
      <c r="D15" s="3" t="n">
        <v>200</v>
      </c>
      <c r="E15" s="4" t="s">
        <v>19</v>
      </c>
    </row>
    <row r="17" customFormat="false" ht="15" hidden="false" customHeight="false" outlineLevel="0" collapsed="false">
      <c r="A17" s="6" t="s">
        <v>20</v>
      </c>
    </row>
    <row r="18" customFormat="false" ht="15" hidden="false" customHeight="false" outlineLevel="0" collapsed="false">
      <c r="A18" s="0" t="s">
        <v>21</v>
      </c>
      <c r="B18" s="8" t="n">
        <v>0.05</v>
      </c>
      <c r="C18" s="8" t="n">
        <v>0.1</v>
      </c>
      <c r="D18" s="8" t="n">
        <v>0.15</v>
      </c>
    </row>
    <row r="19" customFormat="false" ht="15" hidden="false" customHeight="false" outlineLevel="0" collapsed="false">
      <c r="A19" s="0" t="s">
        <v>22</v>
      </c>
      <c r="B19" s="7" t="n">
        <v>3</v>
      </c>
      <c r="C19" s="7" t="n">
        <v>4</v>
      </c>
      <c r="D19" s="7" t="n">
        <v>5</v>
      </c>
    </row>
    <row r="21" customFormat="false" ht="15" hidden="false" customHeight="false" outlineLevel="0" collapsed="false">
      <c r="A21" s="6" t="s">
        <v>23</v>
      </c>
    </row>
    <row r="22" customFormat="false" ht="15" hidden="false" customHeight="false" outlineLevel="0" collapsed="false">
      <c r="A22" s="0" t="s">
        <v>24</v>
      </c>
      <c r="B22" s="3" t="n">
        <v>0.5</v>
      </c>
      <c r="C22" s="3" t="n">
        <v>0.4</v>
      </c>
      <c r="D22" s="3" t="n">
        <v>0.3</v>
      </c>
      <c r="E22" s="4" t="s">
        <v>25</v>
      </c>
    </row>
    <row r="23" customFormat="false" ht="15" hidden="false" customHeight="false" outlineLevel="0" collapsed="false">
      <c r="A23" s="0" t="s">
        <v>26</v>
      </c>
      <c r="B23" s="3" t="n">
        <v>0.6</v>
      </c>
      <c r="C23" s="3" t="n">
        <v>0.5</v>
      </c>
      <c r="D23" s="3" t="n">
        <v>0.4</v>
      </c>
    </row>
    <row r="24" customFormat="false" ht="15" hidden="false" customHeight="false" outlineLevel="0" collapsed="false">
      <c r="A24" s="0" t="s">
        <v>27</v>
      </c>
      <c r="B24" s="8" t="n">
        <v>0.3</v>
      </c>
      <c r="C24" s="8" t="n">
        <v>0.3</v>
      </c>
      <c r="D24" s="8" t="n">
        <v>0.3</v>
      </c>
    </row>
    <row r="25" customFormat="false" ht="15" hidden="false" customHeight="false" outlineLevel="0" collapsed="false">
      <c r="A25" s="0" t="s">
        <v>28</v>
      </c>
      <c r="B25" s="8" t="n">
        <v>0.022</v>
      </c>
      <c r="C25" s="8" t="n">
        <v>0.022</v>
      </c>
      <c r="D25" s="8" t="n">
        <v>0.022</v>
      </c>
    </row>
    <row r="27" customFormat="false" ht="15" hidden="false" customHeight="false" outlineLevel="0" collapsed="false">
      <c r="A27" s="6" t="s">
        <v>29</v>
      </c>
    </row>
    <row r="28" customFormat="false" ht="15" hidden="false" customHeight="false" outlineLevel="0" collapsed="false">
      <c r="A28" s="0" t="s">
        <v>30</v>
      </c>
      <c r="B28" s="3" t="n">
        <v>100</v>
      </c>
      <c r="C28" s="3" t="n">
        <v>85</v>
      </c>
      <c r="D28" s="3" t="n">
        <v>70</v>
      </c>
    </row>
    <row r="29" customFormat="false" ht="15" hidden="false" customHeight="false" outlineLevel="0" collapsed="false">
      <c r="A29" s="0" t="s">
        <v>31</v>
      </c>
      <c r="B29" s="3" t="n">
        <v>350</v>
      </c>
      <c r="C29" s="3" t="n">
        <v>280</v>
      </c>
      <c r="D29" s="3" t="n">
        <v>200</v>
      </c>
    </row>
    <row r="30" customFormat="false" ht="15" hidden="false" customHeight="false" outlineLevel="0" collapsed="false">
      <c r="A30" s="0" t="s">
        <v>32</v>
      </c>
      <c r="B30" s="3" t="n">
        <v>1200</v>
      </c>
      <c r="C30" s="3" t="n">
        <v>900</v>
      </c>
      <c r="D30" s="3" t="n">
        <v>600</v>
      </c>
    </row>
    <row r="31" customFormat="false" ht="15" hidden="false" customHeight="false" outlineLevel="0" collapsed="false">
      <c r="A31" s="0" t="s">
        <v>33</v>
      </c>
      <c r="B31" s="3" t="n">
        <v>80</v>
      </c>
      <c r="C31" s="3" t="n">
        <v>100</v>
      </c>
      <c r="D31" s="3" t="n">
        <v>150</v>
      </c>
    </row>
    <row r="33" customFormat="false" ht="15" hidden="false" customHeight="false" outlineLevel="0" collapsed="false">
      <c r="A33" s="6" t="s">
        <v>34</v>
      </c>
    </row>
    <row r="34" customFormat="false" ht="15" hidden="false" customHeight="false" outlineLevel="0" collapsed="false">
      <c r="A34" s="0" t="s">
        <v>35</v>
      </c>
      <c r="B34" s="3" t="n">
        <v>3000</v>
      </c>
      <c r="C34" s="3" t="n">
        <v>2200</v>
      </c>
      <c r="D34" s="3" t="n">
        <v>1500</v>
      </c>
    </row>
    <row r="35" customFormat="false" ht="15" hidden="false" customHeight="false" outlineLevel="0" collapsed="false">
      <c r="A35" s="0" t="s">
        <v>36</v>
      </c>
      <c r="B35" s="3" t="n">
        <v>4000</v>
      </c>
      <c r="C35" s="3" t="n">
        <v>3000</v>
      </c>
      <c r="D35" s="3" t="n">
        <v>2000</v>
      </c>
    </row>
    <row r="36" customFormat="false" ht="15" hidden="false" customHeight="false" outlineLevel="0" collapsed="false">
      <c r="A36" s="0" t="s">
        <v>37</v>
      </c>
      <c r="B36" s="3" t="n">
        <v>4000</v>
      </c>
      <c r="C36" s="3" t="n">
        <v>3200</v>
      </c>
      <c r="D36" s="3" t="n">
        <v>2500</v>
      </c>
    </row>
    <row r="37" customFormat="false" ht="15" hidden="false" customHeight="false" outlineLevel="0" collapsed="false">
      <c r="A37" s="0" t="s">
        <v>38</v>
      </c>
      <c r="B37" s="3" t="n">
        <v>1500</v>
      </c>
      <c r="C37" s="3" t="n">
        <v>1200</v>
      </c>
      <c r="D37" s="3" t="n">
        <v>800</v>
      </c>
    </row>
    <row r="39" customFormat="false" ht="15" hidden="false" customHeight="false" outlineLevel="0" collapsed="false">
      <c r="A39" s="6" t="s">
        <v>39</v>
      </c>
    </row>
    <row r="40" customFormat="false" ht="15" hidden="false" customHeight="false" outlineLevel="0" collapsed="false">
      <c r="A40" s="0" t="s">
        <v>40</v>
      </c>
      <c r="B40" s="8" t="n">
        <v>0.125</v>
      </c>
      <c r="C40" s="8" t="n">
        <v>0.125</v>
      </c>
      <c r="D40" s="8" t="n">
        <v>0.125</v>
      </c>
      <c r="E40" s="4" t="s">
        <v>41</v>
      </c>
    </row>
    <row r="41" customFormat="false" ht="15" hidden="false" customHeight="false" outlineLevel="0" collapsed="false">
      <c r="A41" s="0" t="s">
        <v>42</v>
      </c>
      <c r="B41" s="7" t="n">
        <v>12</v>
      </c>
      <c r="C41" s="7" t="n">
        <v>9</v>
      </c>
      <c r="D41" s="7" t="n">
        <v>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8" min="2" style="0" width="11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6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 t="s">
        <v>55</v>
      </c>
      <c r="M3" s="9" t="s">
        <v>56</v>
      </c>
      <c r="N3" s="9" t="s">
        <v>57</v>
      </c>
      <c r="O3" s="9" t="s">
        <v>58</v>
      </c>
      <c r="P3" s="9" t="s">
        <v>59</v>
      </c>
      <c r="Q3" s="9" t="s">
        <v>60</v>
      </c>
      <c r="R3" s="9" t="s">
        <v>61</v>
      </c>
      <c r="S3" s="9" t="s">
        <v>62</v>
      </c>
      <c r="T3" s="9" t="s">
        <v>63</v>
      </c>
      <c r="U3" s="9" t="s">
        <v>64</v>
      </c>
      <c r="V3" s="9" t="s">
        <v>65</v>
      </c>
      <c r="W3" s="9" t="s">
        <v>66</v>
      </c>
      <c r="X3" s="9" t="s">
        <v>67</v>
      </c>
      <c r="Y3" s="9" t="s">
        <v>68</v>
      </c>
      <c r="Z3" s="9" t="s">
        <v>69</v>
      </c>
      <c r="AA3" s="9" t="s">
        <v>70</v>
      </c>
      <c r="AB3" s="9" t="s">
        <v>71</v>
      </c>
      <c r="AC3" s="9" t="s">
        <v>72</v>
      </c>
      <c r="AD3" s="9" t="s">
        <v>73</v>
      </c>
      <c r="AE3" s="9" t="s">
        <v>74</v>
      </c>
      <c r="AF3" s="9" t="s">
        <v>75</v>
      </c>
      <c r="AG3" s="9" t="s">
        <v>76</v>
      </c>
      <c r="AH3" s="9" t="s">
        <v>77</v>
      </c>
      <c r="AI3" s="9" t="s">
        <v>78</v>
      </c>
      <c r="AJ3" s="9" t="s">
        <v>79</v>
      </c>
      <c r="AK3" s="9" t="s">
        <v>80</v>
      </c>
      <c r="AL3" s="9" t="s">
        <v>81</v>
      </c>
    </row>
    <row r="5" customFormat="false" ht="15" hidden="false" customHeight="false" outlineLevel="0" collapsed="false">
      <c r="A5" s="10" t="s">
        <v>82</v>
      </c>
      <c r="B5" s="11" t="n">
        <v>0</v>
      </c>
      <c r="C5" s="11" t="n">
        <f aca="false">Hypotheses!B10/12*0.5</f>
        <v>54.1666666666667</v>
      </c>
      <c r="D5" s="11" t="n">
        <f aca="false">Hypotheses!B10/12*0.5</f>
        <v>54.1666666666667</v>
      </c>
      <c r="E5" s="11" t="n">
        <f aca="false">Hypotheses!B10/12*0.5</f>
        <v>54.1666666666667</v>
      </c>
      <c r="F5" s="11" t="n">
        <f aca="false">Hypotheses!B10/12*0.75</f>
        <v>81.25</v>
      </c>
      <c r="G5" s="11" t="n">
        <f aca="false">Hypotheses!B10/12*0.75</f>
        <v>81.25</v>
      </c>
      <c r="H5" s="11" t="n">
        <f aca="false">Hypotheses!B10/12*0.75</f>
        <v>81.25</v>
      </c>
      <c r="I5" s="11" t="n">
        <f aca="false">Hypotheses!B10/12</f>
        <v>108.333333333333</v>
      </c>
      <c r="J5" s="11" t="n">
        <f aca="false">Hypotheses!B10/12</f>
        <v>108.333333333333</v>
      </c>
      <c r="K5" s="11" t="n">
        <f aca="false">Hypotheses!B10/12</f>
        <v>108.333333333333</v>
      </c>
      <c r="L5" s="11" t="n">
        <f aca="false">Hypotheses!B10/12</f>
        <v>108.333333333333</v>
      </c>
      <c r="M5" s="11" t="n">
        <f aca="false">Hypotheses!B10/12</f>
        <v>108.333333333333</v>
      </c>
      <c r="N5" s="11" t="n">
        <f aca="false">Hypotheses!B10/12</f>
        <v>108.333333333333</v>
      </c>
      <c r="O5" s="11" t="n">
        <f aca="false">Hypotheses!B10/12*(1+Hypotheses!B11)</f>
        <v>162.5</v>
      </c>
      <c r="P5" s="11" t="n">
        <f aca="false">Hypotheses!B10/12*(1+Hypotheses!B11)</f>
        <v>162.5</v>
      </c>
      <c r="Q5" s="11" t="n">
        <f aca="false">Hypotheses!B10/12*(1+Hypotheses!B11)</f>
        <v>162.5</v>
      </c>
      <c r="R5" s="11" t="n">
        <f aca="false">Hypotheses!B10/12*(1+Hypotheses!B11)</f>
        <v>162.5</v>
      </c>
      <c r="S5" s="11" t="n">
        <f aca="false">Hypotheses!B10/12*(1+Hypotheses!B11)</f>
        <v>162.5</v>
      </c>
      <c r="T5" s="11" t="n">
        <f aca="false">Hypotheses!B10/12*(1+Hypotheses!B11)</f>
        <v>162.5</v>
      </c>
      <c r="U5" s="11" t="n">
        <f aca="false">Hypotheses!B10/12*(1+Hypotheses!B11)</f>
        <v>162.5</v>
      </c>
      <c r="V5" s="11" t="n">
        <f aca="false">Hypotheses!B10/12*(1+Hypotheses!B11)</f>
        <v>162.5</v>
      </c>
      <c r="W5" s="11" t="n">
        <f aca="false">Hypotheses!B10/12*(1+Hypotheses!B11)</f>
        <v>162.5</v>
      </c>
      <c r="X5" s="11" t="n">
        <f aca="false">Hypotheses!B10/12*(1+Hypotheses!B11)</f>
        <v>162.5</v>
      </c>
      <c r="Y5" s="11" t="n">
        <f aca="false">Hypotheses!B10/12*(1+Hypotheses!B11)</f>
        <v>162.5</v>
      </c>
      <c r="Z5" s="11" t="n">
        <f aca="false">Hypotheses!B10/12*(1+Hypotheses!B11)</f>
        <v>162.5</v>
      </c>
      <c r="AA5" s="11" t="n">
        <f aca="false">Hypotheses!B10/12*(1+Hypotheses!B11)*(1+Hypotheses!B12)</f>
        <v>211.25</v>
      </c>
      <c r="AB5" s="11" t="n">
        <f aca="false">Hypotheses!B10/12*(1+Hypotheses!B11)*(1+Hypotheses!B12)</f>
        <v>211.25</v>
      </c>
      <c r="AC5" s="11" t="n">
        <f aca="false">Hypotheses!B10/12*(1+Hypotheses!B11)*(1+Hypotheses!B12)</f>
        <v>211.25</v>
      </c>
      <c r="AD5" s="11" t="n">
        <f aca="false">Hypotheses!B10/12*(1+Hypotheses!B11)*(1+Hypotheses!B12)</f>
        <v>211.25</v>
      </c>
      <c r="AE5" s="11" t="n">
        <f aca="false">Hypotheses!B10/12*(1+Hypotheses!B11)*(1+Hypotheses!B12)</f>
        <v>211.25</v>
      </c>
      <c r="AF5" s="11" t="n">
        <f aca="false">Hypotheses!B10/12*(1+Hypotheses!B11)*(1+Hypotheses!B12)</f>
        <v>211.25</v>
      </c>
      <c r="AG5" s="11" t="n">
        <f aca="false">Hypotheses!B10/12*(1+Hypotheses!B11)*(1+Hypotheses!B12)</f>
        <v>211.25</v>
      </c>
      <c r="AH5" s="11" t="n">
        <f aca="false">Hypotheses!B10/12*(1+Hypotheses!B11)*(1+Hypotheses!B12)</f>
        <v>211.25</v>
      </c>
      <c r="AI5" s="11" t="n">
        <f aca="false">Hypotheses!B10/12*(1+Hypotheses!B11)*(1+Hypotheses!B12)</f>
        <v>211.25</v>
      </c>
      <c r="AJ5" s="11" t="n">
        <f aca="false">Hypotheses!B10/12*(1+Hypotheses!B11)*(1+Hypotheses!B12)</f>
        <v>211.25</v>
      </c>
      <c r="AK5" s="11" t="n">
        <f aca="false">Hypotheses!B10/12*(1+Hypotheses!B11)*(1+Hypotheses!B12)</f>
        <v>211.25</v>
      </c>
      <c r="AL5" s="11" t="n">
        <f aca="false">Hypotheses!B10/12*(1+Hypotheses!B11)*(1+Hypotheses!B12)</f>
        <v>211.25</v>
      </c>
    </row>
    <row r="6" customFormat="false" ht="15" hidden="false" customHeight="false" outlineLevel="0" collapsed="false">
      <c r="A6" s="10" t="s">
        <v>83</v>
      </c>
      <c r="B6" s="12" t="n">
        <f aca="false">B5</f>
        <v>0</v>
      </c>
      <c r="C6" s="12" t="n">
        <f aca="false">B6+C5</f>
        <v>54.1666666666667</v>
      </c>
      <c r="D6" s="12" t="n">
        <f aca="false">C6+D5</f>
        <v>108.333333333333</v>
      </c>
      <c r="E6" s="12" t="n">
        <f aca="false">D6+E5</f>
        <v>162.5</v>
      </c>
      <c r="F6" s="12" t="n">
        <f aca="false">E6+F5</f>
        <v>243.75</v>
      </c>
      <c r="G6" s="12" t="n">
        <f aca="false">F6+G5</f>
        <v>325</v>
      </c>
      <c r="H6" s="12" t="n">
        <f aca="false">G6+H5</f>
        <v>406.25</v>
      </c>
      <c r="I6" s="12" t="n">
        <f aca="false">H6+I5</f>
        <v>514.583333333333</v>
      </c>
      <c r="J6" s="12" t="n">
        <f aca="false">I6+J5</f>
        <v>622.916666666667</v>
      </c>
      <c r="K6" s="12" t="n">
        <f aca="false">J6+K5</f>
        <v>731.25</v>
      </c>
      <c r="L6" s="12" t="n">
        <f aca="false">K6+L5</f>
        <v>839.583333333334</v>
      </c>
      <c r="M6" s="12" t="n">
        <f aca="false">L6+M5</f>
        <v>947.916666666667</v>
      </c>
      <c r="N6" s="12" t="n">
        <f aca="false">M6+N5</f>
        <v>1056.25</v>
      </c>
      <c r="O6" s="12" t="n">
        <f aca="false">N6+O5</f>
        <v>1218.75</v>
      </c>
      <c r="P6" s="12" t="n">
        <f aca="false">O6+P5</f>
        <v>1381.25</v>
      </c>
      <c r="Q6" s="12" t="n">
        <f aca="false">P6+Q5</f>
        <v>1543.75</v>
      </c>
      <c r="R6" s="12" t="n">
        <f aca="false">Q6+R5</f>
        <v>1706.25</v>
      </c>
      <c r="S6" s="12" t="n">
        <f aca="false">R6+S5</f>
        <v>1868.75</v>
      </c>
      <c r="T6" s="12" t="n">
        <f aca="false">S6+T5</f>
        <v>2031.25</v>
      </c>
      <c r="U6" s="12" t="n">
        <f aca="false">T6+U5</f>
        <v>2193.75</v>
      </c>
      <c r="V6" s="12" t="n">
        <f aca="false">U6+V5</f>
        <v>2356.25</v>
      </c>
      <c r="W6" s="12" t="n">
        <f aca="false">V6+W5</f>
        <v>2518.75</v>
      </c>
      <c r="X6" s="12" t="n">
        <f aca="false">W6+X5</f>
        <v>2681.25</v>
      </c>
      <c r="Y6" s="12" t="n">
        <f aca="false">X6+Y5</f>
        <v>2843.75</v>
      </c>
      <c r="Z6" s="12" t="n">
        <f aca="false">Y6+Z5</f>
        <v>3006.25</v>
      </c>
      <c r="AA6" s="12" t="n">
        <f aca="false">Z6+AA5</f>
        <v>3217.5</v>
      </c>
      <c r="AB6" s="12" t="n">
        <f aca="false">AA6+AB5</f>
        <v>3428.75</v>
      </c>
      <c r="AC6" s="12" t="n">
        <f aca="false">AB6+AC5</f>
        <v>3640</v>
      </c>
      <c r="AD6" s="12" t="n">
        <f aca="false">AC6+AD5</f>
        <v>3851.25</v>
      </c>
      <c r="AE6" s="12" t="n">
        <f aca="false">AD6+AE5</f>
        <v>4062.5</v>
      </c>
      <c r="AF6" s="12" t="n">
        <f aca="false">AE6+AF5</f>
        <v>4273.75</v>
      </c>
      <c r="AG6" s="12" t="n">
        <f aca="false">AF6+AG5</f>
        <v>4485</v>
      </c>
      <c r="AH6" s="12" t="n">
        <f aca="false">AG6+AH5</f>
        <v>4696.25</v>
      </c>
      <c r="AI6" s="12" t="n">
        <f aca="false">AH6+AI5</f>
        <v>4907.5</v>
      </c>
      <c r="AJ6" s="12" t="n">
        <f aca="false">AI6+AJ5</f>
        <v>5118.75</v>
      </c>
      <c r="AK6" s="12" t="n">
        <f aca="false">AJ6+AK5</f>
        <v>5330</v>
      </c>
      <c r="AL6" s="12" t="n">
        <f aca="false">AK6+AL5</f>
        <v>5541.25</v>
      </c>
    </row>
    <row r="7" customFormat="false" ht="15" hidden="false" customHeight="false" outlineLevel="0" collapsed="false">
      <c r="A7" s="10" t="s">
        <v>84</v>
      </c>
      <c r="B7" s="13" t="n">
        <f aca="false">B5*Hypotheses!B13</f>
        <v>0</v>
      </c>
      <c r="C7" s="13" t="n">
        <f aca="false">C5*Hypotheses!B13</f>
        <v>0.541666666666667</v>
      </c>
      <c r="D7" s="13" t="n">
        <f aca="false">D5*Hypotheses!B13</f>
        <v>0.541666666666667</v>
      </c>
      <c r="E7" s="13" t="n">
        <f aca="false">E5*Hypotheses!B13</f>
        <v>0.541666666666667</v>
      </c>
      <c r="F7" s="13" t="n">
        <f aca="false">F5*Hypotheses!B13</f>
        <v>0.8125</v>
      </c>
      <c r="G7" s="13" t="n">
        <f aca="false">G5*Hypotheses!B13</f>
        <v>0.8125</v>
      </c>
      <c r="H7" s="13" t="n">
        <f aca="false">H5*Hypotheses!B13</f>
        <v>0.8125</v>
      </c>
      <c r="I7" s="13" t="n">
        <f aca="false">I5*Hypotheses!B13</f>
        <v>1.08333333333333</v>
      </c>
      <c r="J7" s="13" t="n">
        <f aca="false">J5*Hypotheses!B13</f>
        <v>1.08333333333333</v>
      </c>
      <c r="K7" s="13" t="n">
        <f aca="false">K5*Hypotheses!B13</f>
        <v>1.08333333333333</v>
      </c>
      <c r="L7" s="13" t="n">
        <f aca="false">L5*Hypotheses!B13</f>
        <v>1.08333333333333</v>
      </c>
      <c r="M7" s="13" t="n">
        <f aca="false">M5*Hypotheses!B13</f>
        <v>1.08333333333333</v>
      </c>
      <c r="N7" s="13" t="n">
        <f aca="false">N5*Hypotheses!B13</f>
        <v>1.08333333333333</v>
      </c>
      <c r="O7" s="13" t="n">
        <f aca="false">O5*Hypotheses!B13</f>
        <v>1.625</v>
      </c>
      <c r="P7" s="13" t="n">
        <f aca="false">P5*Hypotheses!B13</f>
        <v>1.625</v>
      </c>
      <c r="Q7" s="13" t="n">
        <f aca="false">Q5*Hypotheses!B13</f>
        <v>1.625</v>
      </c>
      <c r="R7" s="13" t="n">
        <f aca="false">R5*Hypotheses!B13</f>
        <v>1.625</v>
      </c>
      <c r="S7" s="13" t="n">
        <f aca="false">S5*Hypotheses!B13</f>
        <v>1.625</v>
      </c>
      <c r="T7" s="13" t="n">
        <f aca="false">T5*Hypotheses!B13</f>
        <v>1.625</v>
      </c>
      <c r="U7" s="13" t="n">
        <f aca="false">U5*Hypotheses!B13</f>
        <v>1.625</v>
      </c>
      <c r="V7" s="13" t="n">
        <f aca="false">V5*Hypotheses!B13</f>
        <v>1.625</v>
      </c>
      <c r="W7" s="13" t="n">
        <f aca="false">W5*Hypotheses!B13</f>
        <v>1.625</v>
      </c>
      <c r="X7" s="13" t="n">
        <f aca="false">X5*Hypotheses!B13</f>
        <v>1.625</v>
      </c>
      <c r="Y7" s="13" t="n">
        <f aca="false">Y5*Hypotheses!B13</f>
        <v>1.625</v>
      </c>
      <c r="Z7" s="13" t="n">
        <f aca="false">Z5*Hypotheses!B13</f>
        <v>1.625</v>
      </c>
      <c r="AA7" s="13" t="n">
        <f aca="false">AA5*Hypotheses!B13</f>
        <v>2.1125</v>
      </c>
      <c r="AB7" s="13" t="n">
        <f aca="false">AB5*Hypotheses!B13</f>
        <v>2.1125</v>
      </c>
      <c r="AC7" s="13" t="n">
        <f aca="false">AC5*Hypotheses!B13</f>
        <v>2.1125</v>
      </c>
      <c r="AD7" s="13" t="n">
        <f aca="false">AD5*Hypotheses!B13</f>
        <v>2.1125</v>
      </c>
      <c r="AE7" s="13" t="n">
        <f aca="false">AE5*Hypotheses!B13</f>
        <v>2.1125</v>
      </c>
      <c r="AF7" s="13" t="n">
        <f aca="false">AF5*Hypotheses!B13</f>
        <v>2.1125</v>
      </c>
      <c r="AG7" s="13" t="n">
        <f aca="false">AG5*Hypotheses!B13</f>
        <v>2.1125</v>
      </c>
      <c r="AH7" s="13" t="n">
        <f aca="false">AH5*Hypotheses!B13</f>
        <v>2.1125</v>
      </c>
      <c r="AI7" s="13" t="n">
        <f aca="false">AI5*Hypotheses!B13</f>
        <v>2.1125</v>
      </c>
      <c r="AJ7" s="13" t="n">
        <f aca="false">AJ5*Hypotheses!B13</f>
        <v>2.1125</v>
      </c>
      <c r="AK7" s="13" t="n">
        <f aca="false">AK5*Hypotheses!B13</f>
        <v>2.1125</v>
      </c>
      <c r="AL7" s="13" t="n">
        <f aca="false">AL5*Hypotheses!B13</f>
        <v>2.1125</v>
      </c>
    </row>
    <row r="8" customFormat="false" ht="15" hidden="false" customHeight="false" outlineLevel="0" collapsed="false">
      <c r="A8" s="10" t="s">
        <v>85</v>
      </c>
      <c r="B8" s="13" t="n">
        <f aca="false">B7</f>
        <v>0</v>
      </c>
      <c r="C8" s="13" t="n">
        <f aca="false">B8*(1-Hypotheses!B14)+C7</f>
        <v>0.541666666666667</v>
      </c>
      <c r="D8" s="13" t="n">
        <f aca="false">C8*(1-Hypotheses!B14)+D7</f>
        <v>1.04541666666667</v>
      </c>
      <c r="E8" s="13" t="n">
        <f aca="false">D8*(1-Hypotheses!B14)+E7</f>
        <v>1.51390416666667</v>
      </c>
      <c r="F8" s="13" t="n">
        <f aca="false">E8*(1-Hypotheses!B14)+F7</f>
        <v>2.220430875</v>
      </c>
      <c r="G8" s="13" t="n">
        <f aca="false">F8*(1-Hypotheses!B14)+G7</f>
        <v>2.87750071375</v>
      </c>
      <c r="H8" s="13" t="n">
        <f aca="false">G8*(1-Hypotheses!B14)+H7</f>
        <v>3.4885756637875</v>
      </c>
      <c r="I8" s="13" t="n">
        <f aca="false">H8*(1-Hypotheses!B14)+I7</f>
        <v>4.32770870065571</v>
      </c>
      <c r="J8" s="13" t="n">
        <f aca="false">I8*(1-Hypotheses!B14)+J7</f>
        <v>5.10810242494314</v>
      </c>
      <c r="K8" s="13" t="n">
        <f aca="false">J8*(1-Hypotheses!B14)+K7</f>
        <v>5.83386858853045</v>
      </c>
      <c r="L8" s="13" t="n">
        <f aca="false">K8*(1-Hypotheses!B14)+L7</f>
        <v>6.50883112066665</v>
      </c>
      <c r="M8" s="13" t="n">
        <f aca="false">L8*(1-Hypotheses!B14)+M7</f>
        <v>7.13654627555332</v>
      </c>
      <c r="N8" s="13" t="n">
        <f aca="false">M8*(1-Hypotheses!B14)+N7</f>
        <v>7.72032136959792</v>
      </c>
      <c r="O8" s="13" t="n">
        <f aca="false">N8*(1-Hypotheses!B14)+O7</f>
        <v>8.80489887372607</v>
      </c>
      <c r="P8" s="13" t="n">
        <f aca="false">O8*(1-Hypotheses!B14)+P7</f>
        <v>9.81355595256524</v>
      </c>
      <c r="Q8" s="13" t="n">
        <f aca="false">P8*(1-Hypotheses!B14)+Q7</f>
        <v>10.7516070358857</v>
      </c>
      <c r="R8" s="13" t="n">
        <f aca="false">Q8*(1-Hypotheses!B14)+R7</f>
        <v>11.6239945433737</v>
      </c>
      <c r="S8" s="13" t="n">
        <f aca="false">R8*(1-Hypotheses!B14)+S7</f>
        <v>12.4353149253375</v>
      </c>
      <c r="T8" s="13" t="n">
        <f aca="false">S8*(1-Hypotheses!B14)+T7</f>
        <v>13.1898428805639</v>
      </c>
      <c r="U8" s="13" t="n">
        <f aca="false">T8*(1-Hypotheses!B14)+U7</f>
        <v>13.8915538789244</v>
      </c>
      <c r="V8" s="13" t="n">
        <f aca="false">U8*(1-Hypotheses!B14)+V7</f>
        <v>14.5441451073997</v>
      </c>
      <c r="W8" s="13" t="n">
        <f aca="false">V8*(1-Hypotheses!B14)+W7</f>
        <v>15.1510549498817</v>
      </c>
      <c r="X8" s="13" t="n">
        <f aca="false">W8*(1-Hypotheses!B14)+X7</f>
        <v>15.71548110339</v>
      </c>
      <c r="Y8" s="13" t="n">
        <f aca="false">X8*(1-Hypotheses!B14)+Y7</f>
        <v>16.2403974261527</v>
      </c>
      <c r="Z8" s="13" t="n">
        <f aca="false">Y8*(1-Hypotheses!B14)+Z7</f>
        <v>16.728569606322</v>
      </c>
      <c r="AA8" s="13" t="n">
        <f aca="false">Z8*(1-Hypotheses!B14)+AA7</f>
        <v>17.6700697338795</v>
      </c>
      <c r="AB8" s="13" t="n">
        <f aca="false">AA8*(1-Hypotheses!B14)+AB7</f>
        <v>18.5456648525079</v>
      </c>
      <c r="AC8" s="13" t="n">
        <f aca="false">AB8*(1-Hypotheses!B14)+AC7</f>
        <v>19.3599683128324</v>
      </c>
      <c r="AD8" s="13" t="n">
        <f aca="false">AC8*(1-Hypotheses!B14)+AD7</f>
        <v>20.1172705309341</v>
      </c>
      <c r="AE8" s="13" t="n">
        <f aca="false">AD8*(1-Hypotheses!B14)+AE7</f>
        <v>20.8215615937687</v>
      </c>
      <c r="AF8" s="13" t="n">
        <f aca="false">AE8*(1-Hypotheses!B14)+AF7</f>
        <v>21.4765522822049</v>
      </c>
      <c r="AG8" s="13" t="n">
        <f aca="false">AF8*(1-Hypotheses!B14)+AG7</f>
        <v>22.0856936224505</v>
      </c>
      <c r="AH8" s="13" t="n">
        <f aca="false">AG8*(1-Hypotheses!B14)+AH7</f>
        <v>22.652195068879</v>
      </c>
      <c r="AI8" s="13" t="n">
        <f aca="false">AH8*(1-Hypotheses!B14)+AI7</f>
        <v>23.1790414140575</v>
      </c>
      <c r="AJ8" s="13" t="n">
        <f aca="false">AI8*(1-Hypotheses!B14)+AJ7</f>
        <v>23.6690085150735</v>
      </c>
      <c r="AK8" s="13" t="n">
        <f aca="false">AJ8*(1-Hypotheses!B14)+AK7</f>
        <v>24.1246779190183</v>
      </c>
      <c r="AL8" s="13" t="n">
        <f aca="false">AK8*(1-Hypotheses!B14)+AL7</f>
        <v>24.548450464687</v>
      </c>
    </row>
    <row r="10" customFormat="false" ht="15" hidden="false" customHeight="false" outlineLevel="0" collapsed="false">
      <c r="A10" s="10" t="s">
        <v>86</v>
      </c>
      <c r="B10" s="12" t="n">
        <f aca="false">ROUND(B8,0)</f>
        <v>0</v>
      </c>
      <c r="C10" s="12" t="n">
        <f aca="false">ROUND(C8,0)</f>
        <v>1</v>
      </c>
      <c r="D10" s="12" t="n">
        <f aca="false">ROUND(D8,0)</f>
        <v>1</v>
      </c>
      <c r="E10" s="12" t="n">
        <f aca="false">ROUND(E8,0)</f>
        <v>2</v>
      </c>
      <c r="F10" s="12" t="n">
        <f aca="false">ROUND(F8,0)</f>
        <v>2</v>
      </c>
      <c r="G10" s="12" t="n">
        <f aca="false">ROUND(G8,0)</f>
        <v>3</v>
      </c>
      <c r="H10" s="12" t="n">
        <f aca="false">ROUND(H8,0)</f>
        <v>3</v>
      </c>
      <c r="I10" s="12" t="n">
        <f aca="false">ROUND(I8,0)</f>
        <v>4</v>
      </c>
      <c r="J10" s="12" t="n">
        <f aca="false">ROUND(J8,0)</f>
        <v>5</v>
      </c>
      <c r="K10" s="12" t="n">
        <f aca="false">ROUND(K8,0)</f>
        <v>6</v>
      </c>
      <c r="L10" s="12" t="n">
        <f aca="false">ROUND(L8,0)</f>
        <v>7</v>
      </c>
      <c r="M10" s="12" t="n">
        <f aca="false">ROUND(M8,0)</f>
        <v>7</v>
      </c>
      <c r="N10" s="12" t="n">
        <f aca="false">ROUND(N8,0)</f>
        <v>8</v>
      </c>
      <c r="O10" s="12" t="n">
        <f aca="false">ROUND(O8,0)</f>
        <v>9</v>
      </c>
      <c r="P10" s="12" t="n">
        <f aca="false">ROUND(P8,0)</f>
        <v>10</v>
      </c>
      <c r="Q10" s="12" t="n">
        <f aca="false">ROUND(Q8,0)</f>
        <v>11</v>
      </c>
      <c r="R10" s="12" t="n">
        <f aca="false">ROUND(R8,0)</f>
        <v>12</v>
      </c>
      <c r="S10" s="12" t="n">
        <f aca="false">ROUND(S8,0)</f>
        <v>12</v>
      </c>
      <c r="T10" s="12" t="n">
        <f aca="false">ROUND(T8,0)</f>
        <v>13</v>
      </c>
      <c r="U10" s="12" t="n">
        <f aca="false">ROUND(U8,0)</f>
        <v>14</v>
      </c>
      <c r="V10" s="12" t="n">
        <f aca="false">ROUND(V8,0)</f>
        <v>15</v>
      </c>
      <c r="W10" s="12" t="n">
        <f aca="false">ROUND(W8,0)</f>
        <v>15</v>
      </c>
      <c r="X10" s="12" t="n">
        <f aca="false">ROUND(X8,0)</f>
        <v>16</v>
      </c>
      <c r="Y10" s="12" t="n">
        <f aca="false">ROUND(Y8,0)</f>
        <v>16</v>
      </c>
      <c r="Z10" s="12" t="n">
        <f aca="false">ROUND(Z8,0)</f>
        <v>17</v>
      </c>
      <c r="AA10" s="12" t="n">
        <f aca="false">ROUND(AA8,0)</f>
        <v>18</v>
      </c>
      <c r="AB10" s="12" t="n">
        <f aca="false">ROUND(AB8,0)</f>
        <v>19</v>
      </c>
      <c r="AC10" s="12" t="n">
        <f aca="false">ROUND(AC8,0)</f>
        <v>19</v>
      </c>
      <c r="AD10" s="12" t="n">
        <f aca="false">ROUND(AD8,0)</f>
        <v>20</v>
      </c>
      <c r="AE10" s="12" t="n">
        <f aca="false">ROUND(AE8,0)</f>
        <v>21</v>
      </c>
      <c r="AF10" s="12" t="n">
        <f aca="false">ROUND(AF8,0)</f>
        <v>21</v>
      </c>
      <c r="AG10" s="12" t="n">
        <f aca="false">ROUND(AG8,0)</f>
        <v>22</v>
      </c>
      <c r="AH10" s="12" t="n">
        <f aca="false">ROUND(AH8,0)</f>
        <v>23</v>
      </c>
      <c r="AI10" s="12" t="n">
        <f aca="false">ROUND(AI8,0)</f>
        <v>23</v>
      </c>
      <c r="AJ10" s="12" t="n">
        <f aca="false">ROUND(AJ8,0)</f>
        <v>24</v>
      </c>
      <c r="AK10" s="12" t="n">
        <f aca="false">ROUND(AK8,0)</f>
        <v>24</v>
      </c>
      <c r="AL10" s="12" t="n">
        <f aca="false">ROUND(AL8,0)</f>
        <v>25</v>
      </c>
    </row>
    <row r="12" customFormat="false" ht="15" hidden="false" customHeight="false" outlineLevel="0" collapsed="false">
      <c r="A12" s="10" t="s">
        <v>87</v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f aca="false">ROUND(F10*Hypotheses!B18,0)</f>
        <v>0</v>
      </c>
      <c r="G12" s="12" t="n">
        <f aca="false">ROUND(G10*Hypotheses!B18,0)</f>
        <v>0</v>
      </c>
      <c r="H12" s="12" t="n">
        <f aca="false">ROUND(H10*Hypotheses!B18,0)</f>
        <v>0</v>
      </c>
      <c r="I12" s="12" t="n">
        <f aca="false">ROUND(I10*Hypotheses!B18,0)</f>
        <v>0</v>
      </c>
      <c r="J12" s="12" t="n">
        <f aca="false">ROUND(J10*Hypotheses!B18,0)</f>
        <v>0</v>
      </c>
      <c r="K12" s="12" t="n">
        <f aca="false">ROUND(K10*Hypotheses!B18,0)</f>
        <v>0</v>
      </c>
      <c r="L12" s="12" t="n">
        <f aca="false">ROUND(L10*Hypotheses!B18,0)</f>
        <v>0</v>
      </c>
      <c r="M12" s="12" t="n">
        <f aca="false">ROUND(M10*Hypotheses!B18,0)</f>
        <v>0</v>
      </c>
      <c r="N12" s="12" t="n">
        <f aca="false">ROUND(N10*Hypotheses!B18,0)</f>
        <v>0</v>
      </c>
      <c r="O12" s="12" t="n">
        <f aca="false">ROUND(O10*Hypotheses!B18,0)</f>
        <v>0</v>
      </c>
      <c r="P12" s="12" t="n">
        <f aca="false">ROUND(P10*Hypotheses!B18,0)</f>
        <v>1</v>
      </c>
      <c r="Q12" s="12" t="n">
        <f aca="false">ROUND(Q10*Hypotheses!B18,0)</f>
        <v>1</v>
      </c>
      <c r="R12" s="12" t="n">
        <f aca="false">ROUND(R10*Hypotheses!B18,0)</f>
        <v>1</v>
      </c>
      <c r="S12" s="12" t="n">
        <f aca="false">ROUND(S10*Hypotheses!B18,0)</f>
        <v>1</v>
      </c>
      <c r="T12" s="12" t="n">
        <f aca="false">ROUND(T10*Hypotheses!B18,0)</f>
        <v>1</v>
      </c>
      <c r="U12" s="12" t="n">
        <f aca="false">ROUND(U10*Hypotheses!B18,0)</f>
        <v>1</v>
      </c>
      <c r="V12" s="12" t="n">
        <f aca="false">ROUND(V10*Hypotheses!B18,0)</f>
        <v>1</v>
      </c>
      <c r="W12" s="12" t="n">
        <f aca="false">ROUND(W10*Hypotheses!B18,0)</f>
        <v>1</v>
      </c>
      <c r="X12" s="12" t="n">
        <f aca="false">ROUND(X10*Hypotheses!B18,0)</f>
        <v>1</v>
      </c>
      <c r="Y12" s="12" t="n">
        <f aca="false">ROUND(Y10*Hypotheses!B18,0)</f>
        <v>1</v>
      </c>
      <c r="Z12" s="12" t="n">
        <f aca="false">ROUND(Z10*Hypotheses!B18,0)</f>
        <v>1</v>
      </c>
      <c r="AA12" s="12" t="n">
        <f aca="false">ROUND(AA10*Hypotheses!B18,0)</f>
        <v>1</v>
      </c>
      <c r="AB12" s="12" t="n">
        <f aca="false">ROUND(AB10*Hypotheses!B18,0)</f>
        <v>1</v>
      </c>
      <c r="AC12" s="12" t="n">
        <f aca="false">ROUND(AC10*Hypotheses!B18,0)</f>
        <v>1</v>
      </c>
      <c r="AD12" s="12" t="n">
        <f aca="false">ROUND(AD10*Hypotheses!B18,0)</f>
        <v>1</v>
      </c>
      <c r="AE12" s="12" t="n">
        <f aca="false">ROUND(AE10*Hypotheses!B18,0)</f>
        <v>1</v>
      </c>
      <c r="AF12" s="12" t="n">
        <f aca="false">ROUND(AF10*Hypotheses!B18,0)</f>
        <v>1</v>
      </c>
      <c r="AG12" s="12" t="n">
        <f aca="false">ROUND(AG10*Hypotheses!B18,0)</f>
        <v>1</v>
      </c>
      <c r="AH12" s="12" t="n">
        <f aca="false">ROUND(AH10*Hypotheses!B18,0)</f>
        <v>1</v>
      </c>
      <c r="AI12" s="12" t="n">
        <f aca="false">ROUND(AI10*Hypotheses!B18,0)</f>
        <v>1</v>
      </c>
      <c r="AJ12" s="12" t="n">
        <f aca="false">ROUND(AJ10*Hypotheses!B18,0)</f>
        <v>1</v>
      </c>
      <c r="AK12" s="12" t="n">
        <f aca="false">ROUND(AK10*Hypotheses!B18,0)</f>
        <v>1</v>
      </c>
      <c r="AL12" s="12" t="n">
        <f aca="false">ROUND(AL10*Hypotheses!B18,0)</f>
        <v>1</v>
      </c>
    </row>
    <row r="13" customFormat="false" ht="15" hidden="false" customHeight="false" outlineLevel="0" collapsed="false">
      <c r="A13" s="10" t="s">
        <v>88</v>
      </c>
      <c r="B13" s="12" t="n">
        <f aca="false">B12*Hypotheses!B19</f>
        <v>0</v>
      </c>
      <c r="C13" s="12" t="n">
        <f aca="false">C12*Hypotheses!B19</f>
        <v>0</v>
      </c>
      <c r="D13" s="12" t="n">
        <f aca="false">D12*Hypotheses!B19</f>
        <v>0</v>
      </c>
      <c r="E13" s="12" t="n">
        <f aca="false">E12*Hypotheses!B19</f>
        <v>0</v>
      </c>
      <c r="F13" s="12" t="n">
        <f aca="false">F12*Hypotheses!B19</f>
        <v>0</v>
      </c>
      <c r="G13" s="12" t="n">
        <f aca="false">G12*Hypotheses!B19</f>
        <v>0</v>
      </c>
      <c r="H13" s="12" t="n">
        <f aca="false">H12*Hypotheses!B19</f>
        <v>0</v>
      </c>
      <c r="I13" s="12" t="n">
        <f aca="false">I12*Hypotheses!B19</f>
        <v>0</v>
      </c>
      <c r="J13" s="12" t="n">
        <f aca="false">J12*Hypotheses!B19</f>
        <v>0</v>
      </c>
      <c r="K13" s="12" t="n">
        <f aca="false">K12*Hypotheses!B19</f>
        <v>0</v>
      </c>
      <c r="L13" s="12" t="n">
        <f aca="false">L12*Hypotheses!B19</f>
        <v>0</v>
      </c>
      <c r="M13" s="12" t="n">
        <f aca="false">M12*Hypotheses!B19</f>
        <v>0</v>
      </c>
      <c r="N13" s="12" t="n">
        <f aca="false">N12*Hypotheses!B19</f>
        <v>0</v>
      </c>
      <c r="O13" s="12" t="n">
        <f aca="false">O12*Hypotheses!B19</f>
        <v>0</v>
      </c>
      <c r="P13" s="12" t="n">
        <f aca="false">P12*Hypotheses!B19</f>
        <v>3</v>
      </c>
      <c r="Q13" s="12" t="n">
        <f aca="false">Q12*Hypotheses!B19</f>
        <v>3</v>
      </c>
      <c r="R13" s="12" t="n">
        <f aca="false">R12*Hypotheses!B19</f>
        <v>3</v>
      </c>
      <c r="S13" s="12" t="n">
        <f aca="false">S12*Hypotheses!B19</f>
        <v>3</v>
      </c>
      <c r="T13" s="12" t="n">
        <f aca="false">T12*Hypotheses!B19</f>
        <v>3</v>
      </c>
      <c r="U13" s="12" t="n">
        <f aca="false">U12*Hypotheses!B19</f>
        <v>3</v>
      </c>
      <c r="V13" s="12" t="n">
        <f aca="false">V12*Hypotheses!B19</f>
        <v>3</v>
      </c>
      <c r="W13" s="12" t="n">
        <f aca="false">W12*Hypotheses!B19</f>
        <v>3</v>
      </c>
      <c r="X13" s="12" t="n">
        <f aca="false">X12*Hypotheses!B19</f>
        <v>3</v>
      </c>
      <c r="Y13" s="12" t="n">
        <f aca="false">Y12*Hypotheses!B19</f>
        <v>3</v>
      </c>
      <c r="Z13" s="12" t="n">
        <f aca="false">Z12*Hypotheses!B19</f>
        <v>3</v>
      </c>
      <c r="AA13" s="12" t="n">
        <f aca="false">AA12*Hypotheses!B19</f>
        <v>3</v>
      </c>
      <c r="AB13" s="12" t="n">
        <f aca="false">AB12*Hypotheses!B19</f>
        <v>3</v>
      </c>
      <c r="AC13" s="12" t="n">
        <f aca="false">AC12*Hypotheses!B19</f>
        <v>3</v>
      </c>
      <c r="AD13" s="12" t="n">
        <f aca="false">AD12*Hypotheses!B19</f>
        <v>3</v>
      </c>
      <c r="AE13" s="12" t="n">
        <f aca="false">AE12*Hypotheses!B19</f>
        <v>3</v>
      </c>
      <c r="AF13" s="12" t="n">
        <f aca="false">AF12*Hypotheses!B19</f>
        <v>3</v>
      </c>
      <c r="AG13" s="12" t="n">
        <f aca="false">AG12*Hypotheses!B19</f>
        <v>3</v>
      </c>
      <c r="AH13" s="12" t="n">
        <f aca="false">AH12*Hypotheses!B19</f>
        <v>3</v>
      </c>
      <c r="AI13" s="12" t="n">
        <f aca="false">AI12*Hypotheses!B19</f>
        <v>3</v>
      </c>
      <c r="AJ13" s="12" t="n">
        <f aca="false">AJ12*Hypotheses!B19</f>
        <v>3</v>
      </c>
      <c r="AK13" s="12" t="n">
        <f aca="false">AK12*Hypotheses!B19</f>
        <v>3</v>
      </c>
      <c r="AL13" s="12" t="n">
        <f aca="false">AL12*Hypotheses!B19</f>
        <v>3</v>
      </c>
    </row>
    <row r="15" customFormat="false" ht="15" hidden="false" customHeight="false" outlineLevel="0" collapsed="false">
      <c r="A15" s="10" t="s">
        <v>89</v>
      </c>
      <c r="B15" s="5" t="n">
        <f aca="false">B10*Hypotheses!B6</f>
        <v>0</v>
      </c>
      <c r="C15" s="5" t="n">
        <f aca="false">C10*Hypotheses!B6</f>
        <v>24.1666666666667</v>
      </c>
      <c r="D15" s="5" t="n">
        <f aca="false">D10*Hypotheses!B6</f>
        <v>24.1666666666667</v>
      </c>
      <c r="E15" s="5" t="n">
        <f aca="false">E10*Hypotheses!B6</f>
        <v>48.3333333333333</v>
      </c>
      <c r="F15" s="5" t="n">
        <f aca="false">F10*Hypotheses!B6</f>
        <v>48.3333333333333</v>
      </c>
      <c r="G15" s="5" t="n">
        <f aca="false">G10*Hypotheses!B6</f>
        <v>72.5</v>
      </c>
      <c r="H15" s="5" t="n">
        <f aca="false">H10*Hypotheses!B6</f>
        <v>72.5</v>
      </c>
      <c r="I15" s="5" t="n">
        <f aca="false">I10*Hypotheses!B6</f>
        <v>96.6666666666667</v>
      </c>
      <c r="J15" s="5" t="n">
        <f aca="false">J10*Hypotheses!B6</f>
        <v>120.833333333333</v>
      </c>
      <c r="K15" s="5" t="n">
        <f aca="false">K10*Hypotheses!B6</f>
        <v>145</v>
      </c>
      <c r="L15" s="5" t="n">
        <f aca="false">L10*Hypotheses!B6</f>
        <v>169.166666666667</v>
      </c>
      <c r="M15" s="5" t="n">
        <f aca="false">M10*Hypotheses!B6</f>
        <v>169.166666666667</v>
      </c>
      <c r="N15" s="5" t="n">
        <f aca="false">N10*Hypotheses!B6</f>
        <v>193.333333333333</v>
      </c>
      <c r="O15" s="5" t="n">
        <f aca="false">O10*Hypotheses!B6</f>
        <v>217.5</v>
      </c>
      <c r="P15" s="5" t="n">
        <f aca="false">P10*Hypotheses!B6</f>
        <v>241.666666666667</v>
      </c>
      <c r="Q15" s="5" t="n">
        <f aca="false">Q10*Hypotheses!B6</f>
        <v>265.833333333333</v>
      </c>
      <c r="R15" s="5" t="n">
        <f aca="false">R10*Hypotheses!B6</f>
        <v>290</v>
      </c>
      <c r="S15" s="5" t="n">
        <f aca="false">S10*Hypotheses!B6</f>
        <v>290</v>
      </c>
      <c r="T15" s="5" t="n">
        <f aca="false">T10*Hypotheses!B6</f>
        <v>314.166666666667</v>
      </c>
      <c r="U15" s="5" t="n">
        <f aca="false">U10*Hypotheses!B6</f>
        <v>338.333333333333</v>
      </c>
      <c r="V15" s="5" t="n">
        <f aca="false">V10*Hypotheses!B6</f>
        <v>362.5</v>
      </c>
      <c r="W15" s="5" t="n">
        <f aca="false">W10*Hypotheses!B6</f>
        <v>362.5</v>
      </c>
      <c r="X15" s="5" t="n">
        <f aca="false">X10*Hypotheses!B6</f>
        <v>386.666666666667</v>
      </c>
      <c r="Y15" s="5" t="n">
        <f aca="false">Y10*Hypotheses!B6</f>
        <v>386.666666666667</v>
      </c>
      <c r="Z15" s="5" t="n">
        <f aca="false">Z10*Hypotheses!B6</f>
        <v>410.833333333333</v>
      </c>
      <c r="AA15" s="5" t="n">
        <f aca="false">AA10*Hypotheses!B6</f>
        <v>435</v>
      </c>
      <c r="AB15" s="5" t="n">
        <f aca="false">AB10*Hypotheses!B6</f>
        <v>459.166666666667</v>
      </c>
      <c r="AC15" s="5" t="n">
        <f aca="false">AC10*Hypotheses!B6</f>
        <v>459.166666666667</v>
      </c>
      <c r="AD15" s="5" t="n">
        <f aca="false">AD10*Hypotheses!B6</f>
        <v>483.333333333333</v>
      </c>
      <c r="AE15" s="5" t="n">
        <f aca="false">AE10*Hypotheses!B6</f>
        <v>507.5</v>
      </c>
      <c r="AF15" s="5" t="n">
        <f aca="false">AF10*Hypotheses!B6</f>
        <v>507.5</v>
      </c>
      <c r="AG15" s="5" t="n">
        <f aca="false">AG10*Hypotheses!B6</f>
        <v>531.666666666667</v>
      </c>
      <c r="AH15" s="5" t="n">
        <f aca="false">AH10*Hypotheses!B6</f>
        <v>555.833333333333</v>
      </c>
      <c r="AI15" s="5" t="n">
        <f aca="false">AI10*Hypotheses!B6</f>
        <v>555.833333333333</v>
      </c>
      <c r="AJ15" s="5" t="n">
        <f aca="false">AJ10*Hypotheses!B6</f>
        <v>580</v>
      </c>
      <c r="AK15" s="5" t="n">
        <f aca="false">AK10*Hypotheses!B6</f>
        <v>580</v>
      </c>
      <c r="AL15" s="5" t="n">
        <f aca="false">AL10*Hypotheses!B6</f>
        <v>604.166666666667</v>
      </c>
    </row>
    <row r="16" customFormat="false" ht="15" hidden="false" customHeight="false" outlineLevel="0" collapsed="false">
      <c r="A16" s="10" t="s">
        <v>90</v>
      </c>
      <c r="B16" s="5" t="n">
        <f aca="false">B13*Hypotheses!B7</f>
        <v>0</v>
      </c>
      <c r="C16" s="5" t="n">
        <f aca="false">C13*Hypotheses!B7</f>
        <v>0</v>
      </c>
      <c r="D16" s="5" t="n">
        <f aca="false">D13*Hypotheses!B7</f>
        <v>0</v>
      </c>
      <c r="E16" s="5" t="n">
        <f aca="false">E13*Hypotheses!B7</f>
        <v>0</v>
      </c>
      <c r="F16" s="5" t="n">
        <f aca="false">F13*Hypotheses!B7</f>
        <v>0</v>
      </c>
      <c r="G16" s="5" t="n">
        <f aca="false">G13*Hypotheses!B7</f>
        <v>0</v>
      </c>
      <c r="H16" s="5" t="n">
        <f aca="false">H13*Hypotheses!B7</f>
        <v>0</v>
      </c>
      <c r="I16" s="5" t="n">
        <f aca="false">I13*Hypotheses!B7</f>
        <v>0</v>
      </c>
      <c r="J16" s="5" t="n">
        <f aca="false">J13*Hypotheses!B7</f>
        <v>0</v>
      </c>
      <c r="K16" s="5" t="n">
        <f aca="false">K13*Hypotheses!B7</f>
        <v>0</v>
      </c>
      <c r="L16" s="5" t="n">
        <f aca="false">L13*Hypotheses!B7</f>
        <v>0</v>
      </c>
      <c r="M16" s="5" t="n">
        <f aca="false">M13*Hypotheses!B7</f>
        <v>0</v>
      </c>
      <c r="N16" s="5" t="n">
        <f aca="false">N13*Hypotheses!B7</f>
        <v>0</v>
      </c>
      <c r="O16" s="5" t="n">
        <f aca="false">O13*Hypotheses!B7</f>
        <v>0</v>
      </c>
      <c r="P16" s="5" t="n">
        <f aca="false">P13*Hypotheses!B7</f>
        <v>47.5</v>
      </c>
      <c r="Q16" s="5" t="n">
        <f aca="false">Q13*Hypotheses!B7</f>
        <v>47.5</v>
      </c>
      <c r="R16" s="5" t="n">
        <f aca="false">R13*Hypotheses!B7</f>
        <v>47.5</v>
      </c>
      <c r="S16" s="5" t="n">
        <f aca="false">S13*Hypotheses!B7</f>
        <v>47.5</v>
      </c>
      <c r="T16" s="5" t="n">
        <f aca="false">T13*Hypotheses!B7</f>
        <v>47.5</v>
      </c>
      <c r="U16" s="5" t="n">
        <f aca="false">U13*Hypotheses!B7</f>
        <v>47.5</v>
      </c>
      <c r="V16" s="5" t="n">
        <f aca="false">V13*Hypotheses!B7</f>
        <v>47.5</v>
      </c>
      <c r="W16" s="5" t="n">
        <f aca="false">W13*Hypotheses!B7</f>
        <v>47.5</v>
      </c>
      <c r="X16" s="5" t="n">
        <f aca="false">X13*Hypotheses!B7</f>
        <v>47.5</v>
      </c>
      <c r="Y16" s="5" t="n">
        <f aca="false">Y13*Hypotheses!B7</f>
        <v>47.5</v>
      </c>
      <c r="Z16" s="5" t="n">
        <f aca="false">Z13*Hypotheses!B7</f>
        <v>47.5</v>
      </c>
      <c r="AA16" s="5" t="n">
        <f aca="false">AA13*Hypotheses!B7</f>
        <v>47.5</v>
      </c>
      <c r="AB16" s="5" t="n">
        <f aca="false">AB13*Hypotheses!B7</f>
        <v>47.5</v>
      </c>
      <c r="AC16" s="5" t="n">
        <f aca="false">AC13*Hypotheses!B7</f>
        <v>47.5</v>
      </c>
      <c r="AD16" s="5" t="n">
        <f aca="false">AD13*Hypotheses!B7</f>
        <v>47.5</v>
      </c>
      <c r="AE16" s="5" t="n">
        <f aca="false">AE13*Hypotheses!B7</f>
        <v>47.5</v>
      </c>
      <c r="AF16" s="5" t="n">
        <f aca="false">AF13*Hypotheses!B7</f>
        <v>47.5</v>
      </c>
      <c r="AG16" s="5" t="n">
        <f aca="false">AG13*Hypotheses!B7</f>
        <v>47.5</v>
      </c>
      <c r="AH16" s="5" t="n">
        <f aca="false">AH13*Hypotheses!B7</f>
        <v>47.5</v>
      </c>
      <c r="AI16" s="5" t="n">
        <f aca="false">AI13*Hypotheses!B7</f>
        <v>47.5</v>
      </c>
      <c r="AJ16" s="5" t="n">
        <f aca="false">AJ13*Hypotheses!B7</f>
        <v>47.5</v>
      </c>
      <c r="AK16" s="5" t="n">
        <f aca="false">AK13*Hypotheses!B7</f>
        <v>47.5</v>
      </c>
      <c r="AL16" s="5" t="n">
        <f aca="false">AL13*Hypotheses!B7</f>
        <v>47.5</v>
      </c>
    </row>
    <row r="17" customFormat="false" ht="15" hidden="false" customHeight="false" outlineLevel="0" collapsed="false">
      <c r="A17" s="14" t="s">
        <v>91</v>
      </c>
      <c r="B17" s="15" t="n">
        <f aca="false">B15+B16</f>
        <v>0</v>
      </c>
      <c r="C17" s="15" t="n">
        <f aca="false">C15+C16</f>
        <v>24.1666666666667</v>
      </c>
      <c r="D17" s="15" t="n">
        <f aca="false">D15+D16</f>
        <v>24.1666666666667</v>
      </c>
      <c r="E17" s="15" t="n">
        <f aca="false">E15+E16</f>
        <v>48.3333333333333</v>
      </c>
      <c r="F17" s="15" t="n">
        <f aca="false">F15+F16</f>
        <v>48.3333333333333</v>
      </c>
      <c r="G17" s="15" t="n">
        <f aca="false">G15+G16</f>
        <v>72.5</v>
      </c>
      <c r="H17" s="15" t="n">
        <f aca="false">H15+H16</f>
        <v>72.5</v>
      </c>
      <c r="I17" s="15" t="n">
        <f aca="false">I15+I16</f>
        <v>96.6666666666667</v>
      </c>
      <c r="J17" s="15" t="n">
        <f aca="false">J15+J16</f>
        <v>120.833333333333</v>
      </c>
      <c r="K17" s="15" t="n">
        <f aca="false">K15+K16</f>
        <v>145</v>
      </c>
      <c r="L17" s="15" t="n">
        <f aca="false">L15+L16</f>
        <v>169.166666666667</v>
      </c>
      <c r="M17" s="15" t="n">
        <f aca="false">M15+M16</f>
        <v>169.166666666667</v>
      </c>
      <c r="N17" s="15" t="n">
        <f aca="false">N15+N16</f>
        <v>193.333333333333</v>
      </c>
      <c r="O17" s="15" t="n">
        <f aca="false">O15+O16</f>
        <v>217.5</v>
      </c>
      <c r="P17" s="15" t="n">
        <f aca="false">P15+P16</f>
        <v>289.166666666667</v>
      </c>
      <c r="Q17" s="15" t="n">
        <f aca="false">Q15+Q16</f>
        <v>313.333333333333</v>
      </c>
      <c r="R17" s="15" t="n">
        <f aca="false">R15+R16</f>
        <v>337.5</v>
      </c>
      <c r="S17" s="15" t="n">
        <f aca="false">S15+S16</f>
        <v>337.5</v>
      </c>
      <c r="T17" s="15" t="n">
        <f aca="false">T15+T16</f>
        <v>361.666666666667</v>
      </c>
      <c r="U17" s="15" t="n">
        <f aca="false">U15+U16</f>
        <v>385.833333333333</v>
      </c>
      <c r="V17" s="15" t="n">
        <f aca="false">V15+V16</f>
        <v>410</v>
      </c>
      <c r="W17" s="15" t="n">
        <f aca="false">W15+W16</f>
        <v>410</v>
      </c>
      <c r="X17" s="15" t="n">
        <f aca="false">X15+X16</f>
        <v>434.166666666667</v>
      </c>
      <c r="Y17" s="15" t="n">
        <f aca="false">Y15+Y16</f>
        <v>434.166666666667</v>
      </c>
      <c r="Z17" s="15" t="n">
        <f aca="false">Z15+Z16</f>
        <v>458.333333333333</v>
      </c>
      <c r="AA17" s="15" t="n">
        <f aca="false">AA15+AA16</f>
        <v>482.5</v>
      </c>
      <c r="AB17" s="15" t="n">
        <f aca="false">AB15+AB16</f>
        <v>506.666666666667</v>
      </c>
      <c r="AC17" s="15" t="n">
        <f aca="false">AC15+AC16</f>
        <v>506.666666666667</v>
      </c>
      <c r="AD17" s="15" t="n">
        <f aca="false">AD15+AD16</f>
        <v>530.833333333333</v>
      </c>
      <c r="AE17" s="15" t="n">
        <f aca="false">AE15+AE16</f>
        <v>555</v>
      </c>
      <c r="AF17" s="15" t="n">
        <f aca="false">AF15+AF16</f>
        <v>555</v>
      </c>
      <c r="AG17" s="15" t="n">
        <f aca="false">AG15+AG16</f>
        <v>579.166666666667</v>
      </c>
      <c r="AH17" s="15" t="n">
        <f aca="false">AH15+AH16</f>
        <v>603.333333333333</v>
      </c>
      <c r="AI17" s="15" t="n">
        <f aca="false">AI15+AI16</f>
        <v>603.333333333333</v>
      </c>
      <c r="AJ17" s="15" t="n">
        <f aca="false">AJ15+AJ16</f>
        <v>627.5</v>
      </c>
      <c r="AK17" s="15" t="n">
        <f aca="false">AK15+AK16</f>
        <v>627.5</v>
      </c>
      <c r="AL17" s="15" t="n">
        <f aca="false">AL15+AL16</f>
        <v>651.666666666667</v>
      </c>
    </row>
    <row r="18" customFormat="false" ht="15" hidden="false" customHeight="false" outlineLevel="0" collapsed="false">
      <c r="A18" s="10" t="s">
        <v>92</v>
      </c>
      <c r="B18" s="5" t="n">
        <f aca="false">B17*12</f>
        <v>0</v>
      </c>
      <c r="C18" s="5" t="n">
        <f aca="false">C17*12</f>
        <v>290</v>
      </c>
      <c r="D18" s="5" t="n">
        <f aca="false">D17*12</f>
        <v>290</v>
      </c>
      <c r="E18" s="5" t="n">
        <f aca="false">E17*12</f>
        <v>580</v>
      </c>
      <c r="F18" s="5" t="n">
        <f aca="false">F17*12</f>
        <v>580</v>
      </c>
      <c r="G18" s="5" t="n">
        <f aca="false">G17*12</f>
        <v>870</v>
      </c>
      <c r="H18" s="5" t="n">
        <f aca="false">H17*12</f>
        <v>870</v>
      </c>
      <c r="I18" s="5" t="n">
        <f aca="false">I17*12</f>
        <v>1160</v>
      </c>
      <c r="J18" s="5" t="n">
        <f aca="false">J17*12</f>
        <v>1450</v>
      </c>
      <c r="K18" s="5" t="n">
        <f aca="false">K17*12</f>
        <v>1740</v>
      </c>
      <c r="L18" s="5" t="n">
        <f aca="false">L17*12</f>
        <v>2030</v>
      </c>
      <c r="M18" s="5" t="n">
        <f aca="false">M17*12</f>
        <v>2030</v>
      </c>
      <c r="N18" s="5" t="n">
        <f aca="false">N17*12</f>
        <v>2320</v>
      </c>
      <c r="O18" s="5" t="n">
        <f aca="false">O17*12</f>
        <v>2610</v>
      </c>
      <c r="P18" s="5" t="n">
        <f aca="false">P17*12</f>
        <v>3470</v>
      </c>
      <c r="Q18" s="5" t="n">
        <f aca="false">Q17*12</f>
        <v>3760</v>
      </c>
      <c r="R18" s="5" t="n">
        <f aca="false">R17*12</f>
        <v>4050</v>
      </c>
      <c r="S18" s="5" t="n">
        <f aca="false">S17*12</f>
        <v>4050</v>
      </c>
      <c r="T18" s="5" t="n">
        <f aca="false">T17*12</f>
        <v>4340</v>
      </c>
      <c r="U18" s="5" t="n">
        <f aca="false">U17*12</f>
        <v>4630</v>
      </c>
      <c r="V18" s="5" t="n">
        <f aca="false">V17*12</f>
        <v>4920</v>
      </c>
      <c r="W18" s="5" t="n">
        <f aca="false">W17*12</f>
        <v>4920</v>
      </c>
      <c r="X18" s="5" t="n">
        <f aca="false">X17*12</f>
        <v>5210</v>
      </c>
      <c r="Y18" s="5" t="n">
        <f aca="false">Y17*12</f>
        <v>5210</v>
      </c>
      <c r="Z18" s="5" t="n">
        <f aca="false">Z17*12</f>
        <v>5500</v>
      </c>
      <c r="AA18" s="5" t="n">
        <f aca="false">AA17*12</f>
        <v>5790</v>
      </c>
      <c r="AB18" s="5" t="n">
        <f aca="false">AB17*12</f>
        <v>6080</v>
      </c>
      <c r="AC18" s="5" t="n">
        <f aca="false">AC17*12</f>
        <v>6080</v>
      </c>
      <c r="AD18" s="5" t="n">
        <f aca="false">AD17*12</f>
        <v>6370</v>
      </c>
      <c r="AE18" s="5" t="n">
        <f aca="false">AE17*12</f>
        <v>6660</v>
      </c>
      <c r="AF18" s="5" t="n">
        <f aca="false">AF17*12</f>
        <v>6660</v>
      </c>
      <c r="AG18" s="5" t="n">
        <f aca="false">AG17*12</f>
        <v>6950</v>
      </c>
      <c r="AH18" s="5" t="n">
        <f aca="false">AH17*12</f>
        <v>7240</v>
      </c>
      <c r="AI18" s="5" t="n">
        <f aca="false">AI17*12</f>
        <v>7240</v>
      </c>
      <c r="AJ18" s="5" t="n">
        <f aca="false">AJ17*12</f>
        <v>7530</v>
      </c>
      <c r="AK18" s="5" t="n">
        <f aca="false">AK17*12</f>
        <v>7530</v>
      </c>
      <c r="AL18" s="5" t="n">
        <f aca="false">AL17*12</f>
        <v>7820</v>
      </c>
    </row>
    <row r="20" customFormat="false" ht="15" hidden="false" customHeight="false" outlineLevel="0" collapsed="false">
      <c r="A20" s="10" t="s">
        <v>93</v>
      </c>
      <c r="B20" s="16" t="n">
        <f aca="false">-B10*Hypotheses!B22</f>
        <v>-0</v>
      </c>
      <c r="C20" s="16" t="n">
        <f aca="false">-C10*Hypotheses!B22</f>
        <v>-0.5</v>
      </c>
      <c r="D20" s="16" t="n">
        <f aca="false">-D10*Hypotheses!B22</f>
        <v>-0.5</v>
      </c>
      <c r="E20" s="16" t="n">
        <f aca="false">-E10*Hypotheses!B22</f>
        <v>-1</v>
      </c>
      <c r="F20" s="16" t="n">
        <f aca="false">-F10*Hypotheses!B22</f>
        <v>-1</v>
      </c>
      <c r="G20" s="16" t="n">
        <f aca="false">-G10*Hypotheses!B22</f>
        <v>-1.5</v>
      </c>
      <c r="H20" s="16" t="n">
        <f aca="false">-H10*Hypotheses!B22</f>
        <v>-1.5</v>
      </c>
      <c r="I20" s="16" t="n">
        <f aca="false">-I10*Hypotheses!B22</f>
        <v>-2</v>
      </c>
      <c r="J20" s="16" t="n">
        <f aca="false">-J10*Hypotheses!B22</f>
        <v>-2.5</v>
      </c>
      <c r="K20" s="16" t="n">
        <f aca="false">-K10*Hypotheses!B22</f>
        <v>-3</v>
      </c>
      <c r="L20" s="16" t="n">
        <f aca="false">-L10*Hypotheses!B22</f>
        <v>-3.5</v>
      </c>
      <c r="M20" s="16" t="n">
        <f aca="false">-M10*Hypotheses!B22</f>
        <v>-3.5</v>
      </c>
      <c r="N20" s="16" t="n">
        <f aca="false">-N10*Hypotheses!B22</f>
        <v>-4</v>
      </c>
      <c r="O20" s="16" t="n">
        <f aca="false">-O10*Hypotheses!B22</f>
        <v>-4.5</v>
      </c>
      <c r="P20" s="16" t="n">
        <f aca="false">-P10*Hypotheses!B22</f>
        <v>-5</v>
      </c>
      <c r="Q20" s="16" t="n">
        <f aca="false">-Q10*Hypotheses!B22</f>
        <v>-5.5</v>
      </c>
      <c r="R20" s="16" t="n">
        <f aca="false">-R10*Hypotheses!B22</f>
        <v>-6</v>
      </c>
      <c r="S20" s="16" t="n">
        <f aca="false">-S10*Hypotheses!B22</f>
        <v>-6</v>
      </c>
      <c r="T20" s="16" t="n">
        <f aca="false">-T10*Hypotheses!B22</f>
        <v>-6.5</v>
      </c>
      <c r="U20" s="16" t="n">
        <f aca="false">-U10*Hypotheses!B22</f>
        <v>-7</v>
      </c>
      <c r="V20" s="16" t="n">
        <f aca="false">-V10*Hypotheses!B22</f>
        <v>-7.5</v>
      </c>
      <c r="W20" s="16" t="n">
        <f aca="false">-W10*Hypotheses!B22</f>
        <v>-7.5</v>
      </c>
      <c r="X20" s="16" t="n">
        <f aca="false">-X10*Hypotheses!B22</f>
        <v>-8</v>
      </c>
      <c r="Y20" s="16" t="n">
        <f aca="false">-Y10*Hypotheses!B22</f>
        <v>-8</v>
      </c>
      <c r="Z20" s="16" t="n">
        <f aca="false">-Z10*Hypotheses!B22</f>
        <v>-8.5</v>
      </c>
      <c r="AA20" s="16" t="n">
        <f aca="false">-AA10*Hypotheses!B22</f>
        <v>-9</v>
      </c>
      <c r="AB20" s="16" t="n">
        <f aca="false">-AB10*Hypotheses!B22</f>
        <v>-9.5</v>
      </c>
      <c r="AC20" s="16" t="n">
        <f aca="false">-AC10*Hypotheses!B22</f>
        <v>-9.5</v>
      </c>
      <c r="AD20" s="16" t="n">
        <f aca="false">-AD10*Hypotheses!B22</f>
        <v>-10</v>
      </c>
      <c r="AE20" s="16" t="n">
        <f aca="false">-AE10*Hypotheses!B22</f>
        <v>-10.5</v>
      </c>
      <c r="AF20" s="16" t="n">
        <f aca="false">-AF10*Hypotheses!B22</f>
        <v>-10.5</v>
      </c>
      <c r="AG20" s="16" t="n">
        <f aca="false">-AG10*Hypotheses!B22</f>
        <v>-11</v>
      </c>
      <c r="AH20" s="16" t="n">
        <f aca="false">-AH10*Hypotheses!B22</f>
        <v>-11.5</v>
      </c>
      <c r="AI20" s="16" t="n">
        <f aca="false">-AI10*Hypotheses!B22</f>
        <v>-11.5</v>
      </c>
      <c r="AJ20" s="16" t="n">
        <f aca="false">-AJ10*Hypotheses!B22</f>
        <v>-12</v>
      </c>
      <c r="AK20" s="16" t="n">
        <f aca="false">-AK10*Hypotheses!B22</f>
        <v>-12</v>
      </c>
      <c r="AL20" s="16" t="n">
        <f aca="false">-AL10*Hypotheses!B22</f>
        <v>-12.5</v>
      </c>
    </row>
    <row r="21" customFormat="false" ht="15" hidden="false" customHeight="false" outlineLevel="0" collapsed="false">
      <c r="A21" s="10" t="s">
        <v>94</v>
      </c>
      <c r="B21" s="16" t="n">
        <f aca="false">-B6*Hypotheses!B24*Hypotheses!B23</f>
        <v>-0</v>
      </c>
      <c r="C21" s="16" t="n">
        <f aca="false">-C6*Hypotheses!B24*Hypotheses!B23</f>
        <v>-9.75</v>
      </c>
      <c r="D21" s="16" t="n">
        <f aca="false">-D6*Hypotheses!B24*Hypotheses!B23</f>
        <v>-19.5</v>
      </c>
      <c r="E21" s="16" t="n">
        <f aca="false">-E6*Hypotheses!B24*Hypotheses!B23</f>
        <v>-29.25</v>
      </c>
      <c r="F21" s="16" t="n">
        <f aca="false">-F6*Hypotheses!B24*Hypotheses!B23</f>
        <v>-43.875</v>
      </c>
      <c r="G21" s="16" t="n">
        <f aca="false">-G6*Hypotheses!B24*Hypotheses!B23</f>
        <v>-58.5</v>
      </c>
      <c r="H21" s="16" t="n">
        <f aca="false">-H6*Hypotheses!B24*Hypotheses!B23</f>
        <v>-73.125</v>
      </c>
      <c r="I21" s="16" t="n">
        <f aca="false">-I6*Hypotheses!B24*Hypotheses!B23</f>
        <v>-92.625</v>
      </c>
      <c r="J21" s="16" t="n">
        <f aca="false">-J6*Hypotheses!B24*Hypotheses!B23</f>
        <v>-112.125</v>
      </c>
      <c r="K21" s="16" t="n">
        <f aca="false">-K6*Hypotheses!B24*Hypotheses!B23</f>
        <v>-131.625</v>
      </c>
      <c r="L21" s="16" t="n">
        <f aca="false">-L6*Hypotheses!B24*Hypotheses!B23</f>
        <v>-151.125</v>
      </c>
      <c r="M21" s="16" t="n">
        <f aca="false">-M6*Hypotheses!B24*Hypotheses!B23</f>
        <v>-170.625</v>
      </c>
      <c r="N21" s="16" t="n">
        <f aca="false">-N6*Hypotheses!B24*Hypotheses!B23</f>
        <v>-190.125</v>
      </c>
      <c r="O21" s="16" t="n">
        <f aca="false">-O6*Hypotheses!B24*Hypotheses!B23</f>
        <v>-219.375</v>
      </c>
      <c r="P21" s="16" t="n">
        <f aca="false">-P6*Hypotheses!B24*Hypotheses!B23</f>
        <v>-248.625</v>
      </c>
      <c r="Q21" s="16" t="n">
        <f aca="false">-Q6*Hypotheses!B24*Hypotheses!B23</f>
        <v>-277.875</v>
      </c>
      <c r="R21" s="16" t="n">
        <f aca="false">-R6*Hypotheses!B24*Hypotheses!B23</f>
        <v>-307.125</v>
      </c>
      <c r="S21" s="16" t="n">
        <f aca="false">-S6*Hypotheses!B24*Hypotheses!B23</f>
        <v>-336.375</v>
      </c>
      <c r="T21" s="16" t="n">
        <f aca="false">-T6*Hypotheses!B24*Hypotheses!B23</f>
        <v>-365.625</v>
      </c>
      <c r="U21" s="16" t="n">
        <f aca="false">-U6*Hypotheses!B24*Hypotheses!B23</f>
        <v>-394.875</v>
      </c>
      <c r="V21" s="16" t="n">
        <f aca="false">-V6*Hypotheses!B24*Hypotheses!B23</f>
        <v>-424.125</v>
      </c>
      <c r="W21" s="16" t="n">
        <f aca="false">-W6*Hypotheses!B24*Hypotheses!B23</f>
        <v>-453.375</v>
      </c>
      <c r="X21" s="16" t="n">
        <f aca="false">-X6*Hypotheses!B24*Hypotheses!B23</f>
        <v>-482.625</v>
      </c>
      <c r="Y21" s="16" t="n">
        <f aca="false">-Y6*Hypotheses!B24*Hypotheses!B23</f>
        <v>-511.875</v>
      </c>
      <c r="Z21" s="16" t="n">
        <f aca="false">-Z6*Hypotheses!B24*Hypotheses!B23</f>
        <v>-541.125</v>
      </c>
      <c r="AA21" s="16" t="n">
        <f aca="false">-AA6*Hypotheses!B24*Hypotheses!B23</f>
        <v>-579.15</v>
      </c>
      <c r="AB21" s="16" t="n">
        <f aca="false">-AB6*Hypotheses!B24*Hypotheses!B23</f>
        <v>-617.175</v>
      </c>
      <c r="AC21" s="16" t="n">
        <f aca="false">-AC6*Hypotheses!B24*Hypotheses!B23</f>
        <v>-655.2</v>
      </c>
      <c r="AD21" s="16" t="n">
        <f aca="false">-AD6*Hypotheses!B24*Hypotheses!B23</f>
        <v>-693.225</v>
      </c>
      <c r="AE21" s="16" t="n">
        <f aca="false">-AE6*Hypotheses!B24*Hypotheses!B23</f>
        <v>-731.25</v>
      </c>
      <c r="AF21" s="16" t="n">
        <f aca="false">-AF6*Hypotheses!B24*Hypotheses!B23</f>
        <v>-769.275</v>
      </c>
      <c r="AG21" s="16" t="n">
        <f aca="false">-AG6*Hypotheses!B24*Hypotheses!B23</f>
        <v>-807.3</v>
      </c>
      <c r="AH21" s="16" t="n">
        <f aca="false">-AH6*Hypotheses!B24*Hypotheses!B23</f>
        <v>-845.325</v>
      </c>
      <c r="AI21" s="16" t="n">
        <f aca="false">-AI6*Hypotheses!B24*Hypotheses!B23</f>
        <v>-883.35</v>
      </c>
      <c r="AJ21" s="16" t="n">
        <f aca="false">-AJ6*Hypotheses!B24*Hypotheses!B23</f>
        <v>-921.375</v>
      </c>
      <c r="AK21" s="16" t="n">
        <f aca="false">-AK6*Hypotheses!B24*Hypotheses!B23</f>
        <v>-959.4</v>
      </c>
      <c r="AL21" s="16" t="n">
        <f aca="false">-AL6*Hypotheses!B24*Hypotheses!B23</f>
        <v>-997.425</v>
      </c>
    </row>
    <row r="22" customFormat="false" ht="15" hidden="false" customHeight="false" outlineLevel="0" collapsed="false">
      <c r="A22" s="10" t="s">
        <v>95</v>
      </c>
      <c r="B22" s="16" t="n">
        <f aca="false">-B17*Hypotheses!B25</f>
        <v>-0</v>
      </c>
      <c r="C22" s="16" t="n">
        <f aca="false">-C17*Hypotheses!B25</f>
        <v>-0.531666666666667</v>
      </c>
      <c r="D22" s="16" t="n">
        <f aca="false">-D17*Hypotheses!B25</f>
        <v>-0.531666666666667</v>
      </c>
      <c r="E22" s="16" t="n">
        <f aca="false">-E17*Hypotheses!B25</f>
        <v>-1.06333333333333</v>
      </c>
      <c r="F22" s="16" t="n">
        <f aca="false">-F17*Hypotheses!B25</f>
        <v>-1.06333333333333</v>
      </c>
      <c r="G22" s="16" t="n">
        <f aca="false">-G17*Hypotheses!B25</f>
        <v>-1.595</v>
      </c>
      <c r="H22" s="16" t="n">
        <f aca="false">-H17*Hypotheses!B25</f>
        <v>-1.595</v>
      </c>
      <c r="I22" s="16" t="n">
        <f aca="false">-I17*Hypotheses!B25</f>
        <v>-2.12666666666667</v>
      </c>
      <c r="J22" s="16" t="n">
        <f aca="false">-J17*Hypotheses!B25</f>
        <v>-2.65833333333333</v>
      </c>
      <c r="K22" s="16" t="n">
        <f aca="false">-K17*Hypotheses!B25</f>
        <v>-3.19</v>
      </c>
      <c r="L22" s="16" t="n">
        <f aca="false">-L17*Hypotheses!B25</f>
        <v>-3.72166666666667</v>
      </c>
      <c r="M22" s="16" t="n">
        <f aca="false">-M17*Hypotheses!B25</f>
        <v>-3.72166666666667</v>
      </c>
      <c r="N22" s="16" t="n">
        <f aca="false">-N17*Hypotheses!B25</f>
        <v>-4.25333333333333</v>
      </c>
      <c r="O22" s="16" t="n">
        <f aca="false">-O17*Hypotheses!B25</f>
        <v>-4.785</v>
      </c>
      <c r="P22" s="16" t="n">
        <f aca="false">-P17*Hypotheses!B25</f>
        <v>-6.36166666666667</v>
      </c>
      <c r="Q22" s="16" t="n">
        <f aca="false">-Q17*Hypotheses!B25</f>
        <v>-6.89333333333333</v>
      </c>
      <c r="R22" s="16" t="n">
        <f aca="false">-R17*Hypotheses!B25</f>
        <v>-7.425</v>
      </c>
      <c r="S22" s="16" t="n">
        <f aca="false">-S17*Hypotheses!B25</f>
        <v>-7.425</v>
      </c>
      <c r="T22" s="16" t="n">
        <f aca="false">-T17*Hypotheses!B25</f>
        <v>-7.95666666666667</v>
      </c>
      <c r="U22" s="16" t="n">
        <f aca="false">-U17*Hypotheses!B25</f>
        <v>-8.48833333333333</v>
      </c>
      <c r="V22" s="16" t="n">
        <f aca="false">-V17*Hypotheses!B25</f>
        <v>-9.02</v>
      </c>
      <c r="W22" s="16" t="n">
        <f aca="false">-W17*Hypotheses!B25</f>
        <v>-9.02</v>
      </c>
      <c r="X22" s="16" t="n">
        <f aca="false">-X17*Hypotheses!B25</f>
        <v>-9.55166666666667</v>
      </c>
      <c r="Y22" s="16" t="n">
        <f aca="false">-Y17*Hypotheses!B25</f>
        <v>-9.55166666666667</v>
      </c>
      <c r="Z22" s="16" t="n">
        <f aca="false">-Z17*Hypotheses!B25</f>
        <v>-10.0833333333333</v>
      </c>
      <c r="AA22" s="16" t="n">
        <f aca="false">-AA17*Hypotheses!B25</f>
        <v>-10.615</v>
      </c>
      <c r="AB22" s="16" t="n">
        <f aca="false">-AB17*Hypotheses!B25</f>
        <v>-11.1466666666667</v>
      </c>
      <c r="AC22" s="16" t="n">
        <f aca="false">-AC17*Hypotheses!B25</f>
        <v>-11.1466666666667</v>
      </c>
      <c r="AD22" s="16" t="n">
        <f aca="false">-AD17*Hypotheses!B25</f>
        <v>-11.6783333333333</v>
      </c>
      <c r="AE22" s="16" t="n">
        <f aca="false">-AE17*Hypotheses!B25</f>
        <v>-12.21</v>
      </c>
      <c r="AF22" s="16" t="n">
        <f aca="false">-AF17*Hypotheses!B25</f>
        <v>-12.21</v>
      </c>
      <c r="AG22" s="16" t="n">
        <f aca="false">-AG17*Hypotheses!B25</f>
        <v>-12.7416666666667</v>
      </c>
      <c r="AH22" s="16" t="n">
        <f aca="false">-AH17*Hypotheses!B25</f>
        <v>-13.2733333333333</v>
      </c>
      <c r="AI22" s="16" t="n">
        <f aca="false">-AI17*Hypotheses!B25</f>
        <v>-13.2733333333333</v>
      </c>
      <c r="AJ22" s="16" t="n">
        <f aca="false">-AJ17*Hypotheses!B25</f>
        <v>-13.805</v>
      </c>
      <c r="AK22" s="16" t="n">
        <f aca="false">-AK17*Hypotheses!B25</f>
        <v>-13.805</v>
      </c>
      <c r="AL22" s="16" t="n">
        <f aca="false">-AL17*Hypotheses!B25</f>
        <v>-14.3366666666667</v>
      </c>
    </row>
    <row r="23" customFormat="false" ht="15" hidden="false" customHeight="false" outlineLevel="0" collapsed="false">
      <c r="A23" s="14" t="s">
        <v>96</v>
      </c>
      <c r="B23" s="17" t="n">
        <f aca="false">B17+B20+B21+B22</f>
        <v>0</v>
      </c>
      <c r="C23" s="17" t="n">
        <f aca="false">C17+C20+C21+C22</f>
        <v>13.385</v>
      </c>
      <c r="D23" s="17" t="n">
        <f aca="false">D17+D20+D21+D22</f>
        <v>3.635</v>
      </c>
      <c r="E23" s="17" t="n">
        <f aca="false">E17+E20+E21+E22</f>
        <v>17.02</v>
      </c>
      <c r="F23" s="17" t="n">
        <f aca="false">F17+F20+F21+F22</f>
        <v>2.395</v>
      </c>
      <c r="G23" s="17" t="n">
        <f aca="false">G17+G20+G21+G22</f>
        <v>10.905</v>
      </c>
      <c r="H23" s="17" t="n">
        <f aca="false">H17+H20+H21+H22</f>
        <v>-3.72</v>
      </c>
      <c r="I23" s="17" t="n">
        <f aca="false">I17+I20+I21+I22</f>
        <v>-0.0849999999999951</v>
      </c>
      <c r="J23" s="17" t="n">
        <f aca="false">J17+J20+J21+J22</f>
        <v>3.55</v>
      </c>
      <c r="K23" s="17" t="n">
        <f aca="false">K17+K20+K21+K22</f>
        <v>7.185</v>
      </c>
      <c r="L23" s="17" t="n">
        <f aca="false">L17+L20+L21+L22</f>
        <v>10.82</v>
      </c>
      <c r="M23" s="17" t="n">
        <f aca="false">M17+M20+M21+M22</f>
        <v>-8.68000000000001</v>
      </c>
      <c r="N23" s="17" t="n">
        <f aca="false">N17+N20+N21+N22</f>
        <v>-5.04500000000002</v>
      </c>
      <c r="O23" s="17" t="n">
        <f aca="false">O17+O20+O21+O22</f>
        <v>-11.16</v>
      </c>
      <c r="P23" s="17" t="n">
        <f aca="false">P17+P20+P21+P22</f>
        <v>29.18</v>
      </c>
      <c r="Q23" s="17" t="n">
        <f aca="false">Q17+Q20+Q21+Q22</f>
        <v>23.065</v>
      </c>
      <c r="R23" s="17" t="n">
        <f aca="false">R17+R20+R21+R22</f>
        <v>16.95</v>
      </c>
      <c r="S23" s="17" t="n">
        <f aca="false">S17+S20+S21+S22</f>
        <v>-12.3</v>
      </c>
      <c r="T23" s="17" t="n">
        <f aca="false">T17+T20+T21+T22</f>
        <v>-18.415</v>
      </c>
      <c r="U23" s="17" t="n">
        <f aca="false">U17+U20+U21+U22</f>
        <v>-24.53</v>
      </c>
      <c r="V23" s="17" t="n">
        <f aca="false">V17+V20+V21+V22</f>
        <v>-30.645</v>
      </c>
      <c r="W23" s="17" t="n">
        <f aca="false">W17+W20+W21+W22</f>
        <v>-59.895</v>
      </c>
      <c r="X23" s="17" t="n">
        <f aca="false">X17+X20+X21+X22</f>
        <v>-66.01</v>
      </c>
      <c r="Y23" s="17" t="n">
        <f aca="false">Y17+Y20+Y21+Y22</f>
        <v>-95.26</v>
      </c>
      <c r="Z23" s="17" t="n">
        <f aca="false">Z17+Z20+Z21+Z22</f>
        <v>-101.375</v>
      </c>
      <c r="AA23" s="17" t="n">
        <f aca="false">AA17+AA20+AA21+AA22</f>
        <v>-116.265</v>
      </c>
      <c r="AB23" s="17" t="n">
        <f aca="false">AB17+AB20+AB21+AB22</f>
        <v>-131.155</v>
      </c>
      <c r="AC23" s="17" t="n">
        <f aca="false">AC17+AC20+AC21+AC22</f>
        <v>-169.18</v>
      </c>
      <c r="AD23" s="17" t="n">
        <f aca="false">AD17+AD20+AD21+AD22</f>
        <v>-184.07</v>
      </c>
      <c r="AE23" s="17" t="n">
        <f aca="false">AE17+AE20+AE21+AE22</f>
        <v>-198.96</v>
      </c>
      <c r="AF23" s="17" t="n">
        <f aca="false">AF17+AF20+AF21+AF22</f>
        <v>-236.985</v>
      </c>
      <c r="AG23" s="17" t="n">
        <f aca="false">AG17+AG20+AG21+AG22</f>
        <v>-251.875</v>
      </c>
      <c r="AH23" s="17" t="n">
        <f aca="false">AH17+AH20+AH21+AH22</f>
        <v>-266.765</v>
      </c>
      <c r="AI23" s="17" t="n">
        <f aca="false">AI17+AI20+AI21+AI22</f>
        <v>-304.79</v>
      </c>
      <c r="AJ23" s="17" t="n">
        <f aca="false">AJ17+AJ20+AJ21+AJ22</f>
        <v>-319.68</v>
      </c>
      <c r="AK23" s="17" t="n">
        <f aca="false">AK17+AK20+AK21+AK22</f>
        <v>-357.705</v>
      </c>
      <c r="AL23" s="17" t="n">
        <f aca="false">AL17+AL20+AL21+AL22</f>
        <v>-372.595</v>
      </c>
    </row>
    <row r="25" customFormat="false" ht="15" hidden="false" customHeight="false" outlineLevel="0" collapsed="false">
      <c r="A25" s="10" t="s">
        <v>97</v>
      </c>
      <c r="B25" s="16" t="n">
        <f aca="false">-(Hypotheses!B28+Hypotheses!B31)</f>
        <v>-180</v>
      </c>
      <c r="C25" s="16" t="n">
        <f aca="false">-(Hypotheses!B28+Hypotheses!B31)</f>
        <v>-180</v>
      </c>
      <c r="D25" s="16" t="n">
        <f aca="false">-(Hypotheses!B28+Hypotheses!B31)</f>
        <v>-180</v>
      </c>
      <c r="E25" s="16" t="n">
        <f aca="false">-(Hypotheses!B28+Hypotheses!B31)</f>
        <v>-180</v>
      </c>
      <c r="F25" s="16" t="n">
        <f aca="false">-(Hypotheses!B28+Hypotheses!B31)</f>
        <v>-180</v>
      </c>
      <c r="G25" s="16" t="n">
        <f aca="false">-(Hypotheses!B28+Hypotheses!B31)</f>
        <v>-180</v>
      </c>
      <c r="H25" s="16" t="n">
        <f aca="false">-(Hypotheses!B28+Hypotheses!B31)</f>
        <v>-180</v>
      </c>
      <c r="I25" s="16" t="n">
        <f aca="false">-(Hypotheses!B29+Hypotheses!B31)</f>
        <v>-430</v>
      </c>
      <c r="J25" s="16" t="n">
        <f aca="false">-(Hypotheses!B29+Hypotheses!B31)</f>
        <v>-430</v>
      </c>
      <c r="K25" s="16" t="n">
        <f aca="false">-(Hypotheses!B29+Hypotheses!B31)</f>
        <v>-430</v>
      </c>
      <c r="L25" s="16" t="n">
        <f aca="false">-(Hypotheses!B29+Hypotheses!B31)</f>
        <v>-430</v>
      </c>
      <c r="M25" s="16" t="n">
        <f aca="false">-(Hypotheses!B29+Hypotheses!B31)</f>
        <v>-430</v>
      </c>
      <c r="N25" s="16" t="n">
        <f aca="false">-(Hypotheses!B29+Hypotheses!B31)</f>
        <v>-430</v>
      </c>
      <c r="O25" s="16" t="n">
        <f aca="false">-(Hypotheses!B29+Hypotheses!B31)</f>
        <v>-430</v>
      </c>
      <c r="P25" s="16" t="n">
        <f aca="false">-(Hypotheses!B29+Hypotheses!B31)</f>
        <v>-430</v>
      </c>
      <c r="Q25" s="16" t="n">
        <f aca="false">-(Hypotheses!B29+Hypotheses!B31)</f>
        <v>-430</v>
      </c>
      <c r="R25" s="16" t="n">
        <f aca="false">-(Hypotheses!B29+Hypotheses!B31)</f>
        <v>-430</v>
      </c>
      <c r="S25" s="16" t="n">
        <f aca="false">-(Hypotheses!B29+Hypotheses!B31)</f>
        <v>-430</v>
      </c>
      <c r="T25" s="16" t="n">
        <f aca="false">-(Hypotheses!B29+Hypotheses!B31)</f>
        <v>-430</v>
      </c>
      <c r="U25" s="16" t="n">
        <f aca="false">-(Hypotheses!B30+Hypotheses!B31)</f>
        <v>-1280</v>
      </c>
      <c r="V25" s="16" t="n">
        <f aca="false">-(Hypotheses!B30+Hypotheses!B31)</f>
        <v>-1280</v>
      </c>
      <c r="W25" s="16" t="n">
        <f aca="false">-(Hypotheses!B30+Hypotheses!B31)</f>
        <v>-1280</v>
      </c>
      <c r="X25" s="16" t="n">
        <f aca="false">-(Hypotheses!B30+Hypotheses!B31)</f>
        <v>-1280</v>
      </c>
      <c r="Y25" s="16" t="n">
        <f aca="false">-(Hypotheses!B30+Hypotheses!B31)</f>
        <v>-1280</v>
      </c>
      <c r="Z25" s="16" t="n">
        <f aca="false">-(Hypotheses!B30+Hypotheses!B31)</f>
        <v>-1280</v>
      </c>
      <c r="AA25" s="16" t="n">
        <f aca="false">-(Hypotheses!B30+Hypotheses!B31)</f>
        <v>-1280</v>
      </c>
      <c r="AB25" s="16" t="n">
        <f aca="false">-(Hypotheses!B30+Hypotheses!B31)</f>
        <v>-1280</v>
      </c>
      <c r="AC25" s="16" t="n">
        <f aca="false">-(Hypotheses!B30+Hypotheses!B31)</f>
        <v>-1280</v>
      </c>
      <c r="AD25" s="16" t="n">
        <f aca="false">-(Hypotheses!B30+Hypotheses!B31)</f>
        <v>-1280</v>
      </c>
      <c r="AE25" s="16" t="n">
        <f aca="false">-(Hypotheses!B30+Hypotheses!B31)</f>
        <v>-1280</v>
      </c>
      <c r="AF25" s="16" t="n">
        <f aca="false">-(Hypotheses!B30+Hypotheses!B31)</f>
        <v>-1280</v>
      </c>
      <c r="AG25" s="16" t="n">
        <f aca="false">-(Hypotheses!B30+Hypotheses!B31)</f>
        <v>-1280</v>
      </c>
      <c r="AH25" s="16" t="n">
        <f aca="false">-(Hypotheses!B30+Hypotheses!B31)</f>
        <v>-1280</v>
      </c>
      <c r="AI25" s="16" t="n">
        <f aca="false">-(Hypotheses!B30+Hypotheses!B31)</f>
        <v>-1280</v>
      </c>
      <c r="AJ25" s="16" t="n">
        <f aca="false">-(Hypotheses!B30+Hypotheses!B31)</f>
        <v>-1280</v>
      </c>
      <c r="AK25" s="16" t="n">
        <f aca="false">-(Hypotheses!B30+Hypotheses!B31)</f>
        <v>-1280</v>
      </c>
      <c r="AL25" s="16" t="n">
        <f aca="false">-(Hypotheses!B30+Hypotheses!B31)</f>
        <v>-1280</v>
      </c>
    </row>
    <row r="26" customFormat="false" ht="15" hidden="false" customHeight="false" outlineLevel="0" collapsed="false">
      <c r="A26" s="10" t="s">
        <v>98</v>
      </c>
      <c r="B26" s="16" t="n">
        <f aca="false">-B7*Hypotheses!B15</f>
        <v>-0</v>
      </c>
      <c r="C26" s="16" t="n">
        <f aca="false">-C7*Hypotheses!B15</f>
        <v>-433.333333333333</v>
      </c>
      <c r="D26" s="16" t="n">
        <f aca="false">-D7*Hypotheses!B15</f>
        <v>-433.333333333333</v>
      </c>
      <c r="E26" s="16" t="n">
        <f aca="false">-E7*Hypotheses!B15</f>
        <v>-433.333333333333</v>
      </c>
      <c r="F26" s="16" t="n">
        <f aca="false">-F7*Hypotheses!B15</f>
        <v>-650</v>
      </c>
      <c r="G26" s="16" t="n">
        <f aca="false">-G7*Hypotheses!B15</f>
        <v>-650</v>
      </c>
      <c r="H26" s="16" t="n">
        <f aca="false">-H7*Hypotheses!B15</f>
        <v>-650</v>
      </c>
      <c r="I26" s="16" t="n">
        <f aca="false">-I7*Hypotheses!B15</f>
        <v>-866.666666666667</v>
      </c>
      <c r="J26" s="16" t="n">
        <f aca="false">-J7*Hypotheses!B15</f>
        <v>-866.666666666667</v>
      </c>
      <c r="K26" s="16" t="n">
        <f aca="false">-K7*Hypotheses!B15</f>
        <v>-866.666666666667</v>
      </c>
      <c r="L26" s="16" t="n">
        <f aca="false">-L7*Hypotheses!B15</f>
        <v>-866.666666666667</v>
      </c>
      <c r="M26" s="16" t="n">
        <f aca="false">-M7*Hypotheses!B15</f>
        <v>-866.666666666667</v>
      </c>
      <c r="N26" s="16" t="n">
        <f aca="false">-N7*Hypotheses!B15</f>
        <v>-866.666666666667</v>
      </c>
      <c r="O26" s="16" t="n">
        <f aca="false">-O7*Hypotheses!B15</f>
        <v>-1300</v>
      </c>
      <c r="P26" s="16" t="n">
        <f aca="false">-P7*Hypotheses!B15</f>
        <v>-1300</v>
      </c>
      <c r="Q26" s="16" t="n">
        <f aca="false">-Q7*Hypotheses!B15</f>
        <v>-1300</v>
      </c>
      <c r="R26" s="16" t="n">
        <f aca="false">-R7*Hypotheses!B15</f>
        <v>-1300</v>
      </c>
      <c r="S26" s="16" t="n">
        <f aca="false">-S7*Hypotheses!B15</f>
        <v>-1300</v>
      </c>
      <c r="T26" s="16" t="n">
        <f aca="false">-T7*Hypotheses!B15</f>
        <v>-1300</v>
      </c>
      <c r="U26" s="16" t="n">
        <f aca="false">-U7*Hypotheses!B15</f>
        <v>-1300</v>
      </c>
      <c r="V26" s="16" t="n">
        <f aca="false">-V7*Hypotheses!B15</f>
        <v>-1300</v>
      </c>
      <c r="W26" s="16" t="n">
        <f aca="false">-W7*Hypotheses!B15</f>
        <v>-1300</v>
      </c>
      <c r="X26" s="16" t="n">
        <f aca="false">-X7*Hypotheses!B15</f>
        <v>-1300</v>
      </c>
      <c r="Y26" s="16" t="n">
        <f aca="false">-Y7*Hypotheses!B15</f>
        <v>-1300</v>
      </c>
      <c r="Z26" s="16" t="n">
        <f aca="false">-Z7*Hypotheses!B15</f>
        <v>-1300</v>
      </c>
      <c r="AA26" s="16" t="n">
        <f aca="false">-AA7*Hypotheses!B15</f>
        <v>-1690</v>
      </c>
      <c r="AB26" s="16" t="n">
        <f aca="false">-AB7*Hypotheses!B15</f>
        <v>-1690</v>
      </c>
      <c r="AC26" s="16" t="n">
        <f aca="false">-AC7*Hypotheses!B15</f>
        <v>-1690</v>
      </c>
      <c r="AD26" s="16" t="n">
        <f aca="false">-AD7*Hypotheses!B15</f>
        <v>-1690</v>
      </c>
      <c r="AE26" s="16" t="n">
        <f aca="false">-AE7*Hypotheses!B15</f>
        <v>-1690</v>
      </c>
      <c r="AF26" s="16" t="n">
        <f aca="false">-AF7*Hypotheses!B15</f>
        <v>-1690</v>
      </c>
      <c r="AG26" s="16" t="n">
        <f aca="false">-AG7*Hypotheses!B15</f>
        <v>-1690</v>
      </c>
      <c r="AH26" s="16" t="n">
        <f aca="false">-AH7*Hypotheses!B15</f>
        <v>-1690</v>
      </c>
      <c r="AI26" s="16" t="n">
        <f aca="false">-AI7*Hypotheses!B15</f>
        <v>-1690</v>
      </c>
      <c r="AJ26" s="16" t="n">
        <f aca="false">-AJ7*Hypotheses!B15</f>
        <v>-1690</v>
      </c>
      <c r="AK26" s="16" t="n">
        <f aca="false">-AK7*Hypotheses!B15</f>
        <v>-1690</v>
      </c>
      <c r="AL26" s="16" t="n">
        <f aca="false">-AL7*Hypotheses!B15</f>
        <v>-1690</v>
      </c>
    </row>
    <row r="27" customFormat="false" ht="15" hidden="false" customHeight="false" outlineLevel="0" collapsed="false">
      <c r="A27" s="10" t="s">
        <v>99</v>
      </c>
      <c r="B27" s="16" t="n">
        <v>0</v>
      </c>
      <c r="C27" s="16" t="n">
        <f aca="false">-Hypotheses!B34/3</f>
        <v>-1000</v>
      </c>
      <c r="D27" s="16" t="n">
        <f aca="false">-Hypotheses!B34/3</f>
        <v>-1000</v>
      </c>
      <c r="E27" s="16" t="n">
        <f aca="false">-Hypotheses!B34/3</f>
        <v>-1000</v>
      </c>
      <c r="F27" s="16" t="n">
        <v>0</v>
      </c>
      <c r="G27" s="16" t="n">
        <v>0</v>
      </c>
      <c r="H27" s="16" t="n">
        <v>0</v>
      </c>
      <c r="I27" s="16" t="n">
        <f aca="false">-Hypotheses!B35/3</f>
        <v>-1333.33333333333</v>
      </c>
      <c r="J27" s="16" t="n">
        <f aca="false">-Hypotheses!B35/3</f>
        <v>-1333.33333333333</v>
      </c>
      <c r="K27" s="16" t="n">
        <f aca="false">-Hypotheses!B35/3</f>
        <v>-1333.33333333333</v>
      </c>
      <c r="L27" s="16" t="n">
        <f aca="false">-Hypotheses!B36/3</f>
        <v>-1333.33333333333</v>
      </c>
      <c r="M27" s="16" t="n">
        <f aca="false">-Hypotheses!B36/3</f>
        <v>-1333.33333333333</v>
      </c>
      <c r="N27" s="16" t="n">
        <f aca="false">-Hypotheses!B36/3</f>
        <v>-1333.33333333333</v>
      </c>
      <c r="O27" s="16" t="n">
        <v>0</v>
      </c>
      <c r="P27" s="16" t="n">
        <v>0</v>
      </c>
      <c r="Q27" s="16" t="n">
        <v>0</v>
      </c>
      <c r="R27" s="16" t="n">
        <f aca="false">-Hypotheses!B37/3</f>
        <v>-500</v>
      </c>
      <c r="S27" s="16" t="n">
        <f aca="false">-Hypotheses!B37/3</f>
        <v>-500</v>
      </c>
      <c r="T27" s="16" t="n">
        <f aca="false">-Hypotheses!B37/3</f>
        <v>-500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</row>
    <row r="28" customFormat="false" ht="15" hidden="false" customHeight="false" outlineLevel="0" collapsed="false">
      <c r="A28" s="10" t="s">
        <v>100</v>
      </c>
      <c r="B28" s="16" t="n">
        <f aca="false">IF(0&gt;=Hypotheses!B41,-B17*Hypotheses!B40,0)</f>
        <v>0</v>
      </c>
      <c r="C28" s="16" t="n">
        <f aca="false">IF(1&gt;=Hypotheses!B41,-C17*Hypotheses!B40,0)</f>
        <v>0</v>
      </c>
      <c r="D28" s="16" t="n">
        <f aca="false">IF(2&gt;=Hypotheses!B41,-D17*Hypotheses!B40,0)</f>
        <v>0</v>
      </c>
      <c r="E28" s="16" t="n">
        <f aca="false">IF(3&gt;=Hypotheses!B41,-E17*Hypotheses!B40,0)</f>
        <v>0</v>
      </c>
      <c r="F28" s="16" t="n">
        <f aca="false">IF(4&gt;=Hypotheses!B41,-F17*Hypotheses!B40,0)</f>
        <v>0</v>
      </c>
      <c r="G28" s="16" t="n">
        <f aca="false">IF(5&gt;=Hypotheses!B41,-G17*Hypotheses!B40,0)</f>
        <v>0</v>
      </c>
      <c r="H28" s="16" t="n">
        <f aca="false">IF(6&gt;=Hypotheses!B41,-H17*Hypotheses!B40,0)</f>
        <v>0</v>
      </c>
      <c r="I28" s="16" t="n">
        <f aca="false">IF(7&gt;=Hypotheses!B41,-I17*Hypotheses!B40,0)</f>
        <v>0</v>
      </c>
      <c r="J28" s="16" t="n">
        <f aca="false">IF(8&gt;=Hypotheses!B41,-J17*Hypotheses!B40,0)</f>
        <v>0</v>
      </c>
      <c r="K28" s="16" t="n">
        <f aca="false">IF(9&gt;=Hypotheses!B41,-K17*Hypotheses!B40,0)</f>
        <v>0</v>
      </c>
      <c r="L28" s="16" t="n">
        <f aca="false">IF(10&gt;=Hypotheses!B41,-L17*Hypotheses!B40,0)</f>
        <v>0</v>
      </c>
      <c r="M28" s="16" t="n">
        <f aca="false">IF(11&gt;=Hypotheses!B41,-M17*Hypotheses!B40,0)</f>
        <v>0</v>
      </c>
      <c r="N28" s="16" t="n">
        <f aca="false">IF(12&gt;=Hypotheses!B41,-N17*Hypotheses!B40,0)</f>
        <v>-24.1666666666667</v>
      </c>
      <c r="O28" s="16" t="n">
        <f aca="false">IF(13&gt;=Hypotheses!B41,-O17*Hypotheses!B40,0)</f>
        <v>-27.1875</v>
      </c>
      <c r="P28" s="16" t="n">
        <f aca="false">IF(14&gt;=Hypotheses!B41,-P17*Hypotheses!B40,0)</f>
        <v>-36.1458333333333</v>
      </c>
      <c r="Q28" s="16" t="n">
        <f aca="false">IF(15&gt;=Hypotheses!B41,-Q17*Hypotheses!B40,0)</f>
        <v>-39.1666666666667</v>
      </c>
      <c r="R28" s="16" t="n">
        <f aca="false">IF(16&gt;=Hypotheses!B41,-R17*Hypotheses!B40,0)</f>
        <v>-42.1875</v>
      </c>
      <c r="S28" s="16" t="n">
        <f aca="false">IF(17&gt;=Hypotheses!B41,-S17*Hypotheses!B40,0)</f>
        <v>-42.1875</v>
      </c>
      <c r="T28" s="16" t="n">
        <f aca="false">IF(18&gt;=Hypotheses!B41,-T17*Hypotheses!B40,0)</f>
        <v>-45.2083333333333</v>
      </c>
      <c r="U28" s="16" t="n">
        <f aca="false">IF(19&gt;=Hypotheses!B41,-U17*Hypotheses!B40,0)</f>
        <v>-48.2291666666667</v>
      </c>
      <c r="V28" s="16" t="n">
        <f aca="false">IF(20&gt;=Hypotheses!B41,-V17*Hypotheses!B40,0)</f>
        <v>-51.25</v>
      </c>
      <c r="W28" s="16" t="n">
        <f aca="false">IF(21&gt;=Hypotheses!B41,-W17*Hypotheses!B40,0)</f>
        <v>-51.25</v>
      </c>
      <c r="X28" s="16" t="n">
        <f aca="false">IF(22&gt;=Hypotheses!B41,-X17*Hypotheses!B40,0)</f>
        <v>-54.2708333333333</v>
      </c>
      <c r="Y28" s="16" t="n">
        <f aca="false">IF(23&gt;=Hypotheses!B41,-Y17*Hypotheses!B40,0)</f>
        <v>-54.2708333333333</v>
      </c>
      <c r="Z28" s="16" t="n">
        <f aca="false">IF(24&gt;=Hypotheses!B41,-Z17*Hypotheses!B40,0)</f>
        <v>-57.2916666666667</v>
      </c>
      <c r="AA28" s="16" t="n">
        <f aca="false">IF(25&gt;=Hypotheses!B41,-AA17*Hypotheses!B40,0)</f>
        <v>-60.3125</v>
      </c>
      <c r="AB28" s="16" t="n">
        <f aca="false">IF(26&gt;=Hypotheses!B41,-AB17*Hypotheses!B40,0)</f>
        <v>-63.3333333333333</v>
      </c>
      <c r="AC28" s="16" t="n">
        <f aca="false">IF(27&gt;=Hypotheses!B41,-AC17*Hypotheses!B40,0)</f>
        <v>-63.3333333333333</v>
      </c>
      <c r="AD28" s="16" t="n">
        <f aca="false">IF(28&gt;=Hypotheses!B41,-AD17*Hypotheses!B40,0)</f>
        <v>-66.3541666666667</v>
      </c>
      <c r="AE28" s="16" t="n">
        <f aca="false">IF(29&gt;=Hypotheses!B41,-AE17*Hypotheses!B40,0)</f>
        <v>-69.375</v>
      </c>
      <c r="AF28" s="16" t="n">
        <f aca="false">IF(30&gt;=Hypotheses!B41,-AF17*Hypotheses!B40,0)</f>
        <v>-69.375</v>
      </c>
      <c r="AG28" s="16" t="n">
        <f aca="false">IF(31&gt;=Hypotheses!B41,-AG17*Hypotheses!B40,0)</f>
        <v>-72.3958333333333</v>
      </c>
      <c r="AH28" s="16" t="n">
        <f aca="false">IF(32&gt;=Hypotheses!B41,-AH17*Hypotheses!B40,0)</f>
        <v>-75.4166666666667</v>
      </c>
      <c r="AI28" s="16" t="n">
        <f aca="false">IF(33&gt;=Hypotheses!B41,-AI17*Hypotheses!B40,0)</f>
        <v>-75.4166666666667</v>
      </c>
      <c r="AJ28" s="16" t="n">
        <f aca="false">IF(34&gt;=Hypotheses!B41,-AJ17*Hypotheses!B40,0)</f>
        <v>-78.4375</v>
      </c>
      <c r="AK28" s="16" t="n">
        <f aca="false">IF(35&gt;=Hypotheses!B41,-AK17*Hypotheses!B40,0)</f>
        <v>-78.4375</v>
      </c>
      <c r="AL28" s="16" t="n">
        <f aca="false">IF(36&gt;=Hypotheses!B41,-AL17*Hypotheses!B40,0)</f>
        <v>-81.4583333333333</v>
      </c>
    </row>
    <row r="30" customFormat="false" ht="15" hidden="false" customHeight="false" outlineLevel="0" collapsed="false">
      <c r="A30" s="18" t="s">
        <v>101</v>
      </c>
      <c r="B30" s="19" t="n">
        <f aca="false">B23+B25+B26+B27+B28</f>
        <v>-180</v>
      </c>
      <c r="C30" s="19" t="n">
        <f aca="false">C23+C25+C26+C27+C28</f>
        <v>-1599.94833333333</v>
      </c>
      <c r="D30" s="19" t="n">
        <f aca="false">D23+D25+D26+D27+D28</f>
        <v>-1609.69833333333</v>
      </c>
      <c r="E30" s="19" t="n">
        <f aca="false">E23+E25+E26+E27+E28</f>
        <v>-1596.31333333333</v>
      </c>
      <c r="F30" s="19" t="n">
        <f aca="false">F23+F25+F26+F27+F28</f>
        <v>-827.605</v>
      </c>
      <c r="G30" s="19" t="n">
        <f aca="false">G23+G25+G26+G27+G28</f>
        <v>-819.095</v>
      </c>
      <c r="H30" s="19" t="n">
        <f aca="false">H23+H25+H26+H27+H28</f>
        <v>-833.72</v>
      </c>
      <c r="I30" s="19" t="n">
        <f aca="false">I23+I25+I26+I27+I28</f>
        <v>-2630.085</v>
      </c>
      <c r="J30" s="19" t="n">
        <f aca="false">J23+J25+J26+J27+J28</f>
        <v>-2626.45</v>
      </c>
      <c r="K30" s="19" t="n">
        <f aca="false">K23+K25+K26+K27+K28</f>
        <v>-2622.815</v>
      </c>
      <c r="L30" s="19" t="n">
        <f aca="false">L23+L25+L26+L27+L28</f>
        <v>-2619.18</v>
      </c>
      <c r="M30" s="19" t="n">
        <f aca="false">M23+M25+M26+M27+M28</f>
        <v>-2638.68</v>
      </c>
      <c r="N30" s="19" t="n">
        <f aca="false">N23+N25+N26+N27+N28</f>
        <v>-2659.21166666667</v>
      </c>
      <c r="O30" s="19" t="n">
        <f aca="false">O23+O25+O26+O27+O28</f>
        <v>-1768.3475</v>
      </c>
      <c r="P30" s="19" t="n">
        <f aca="false">P23+P25+P26+P27+P28</f>
        <v>-1736.96583333333</v>
      </c>
      <c r="Q30" s="19" t="n">
        <f aca="false">Q23+Q25+Q26+Q27+Q28</f>
        <v>-1746.10166666667</v>
      </c>
      <c r="R30" s="19" t="n">
        <f aca="false">R23+R25+R26+R27+R28</f>
        <v>-2255.2375</v>
      </c>
      <c r="S30" s="19" t="n">
        <f aca="false">S23+S25+S26+S27+S28</f>
        <v>-2284.4875</v>
      </c>
      <c r="T30" s="19" t="n">
        <f aca="false">T23+T25+T26+T27+T28</f>
        <v>-2293.62333333333</v>
      </c>
      <c r="U30" s="19" t="n">
        <f aca="false">U23+U25+U26+U27+U28</f>
        <v>-2652.75916666667</v>
      </c>
      <c r="V30" s="19" t="n">
        <f aca="false">V23+V25+V26+V27+V28</f>
        <v>-2661.895</v>
      </c>
      <c r="W30" s="19" t="n">
        <f aca="false">W23+W25+W26+W27+W28</f>
        <v>-2691.145</v>
      </c>
      <c r="X30" s="19" t="n">
        <f aca="false">X23+X25+X26+X27+X28</f>
        <v>-2700.28083333333</v>
      </c>
      <c r="Y30" s="19" t="n">
        <f aca="false">Y23+Y25+Y26+Y27+Y28</f>
        <v>-2729.53083333333</v>
      </c>
      <c r="Z30" s="19" t="n">
        <f aca="false">Z23+Z25+Z26+Z27+Z28</f>
        <v>-2738.66666666667</v>
      </c>
      <c r="AA30" s="19" t="n">
        <f aca="false">AA23+AA25+AA26+AA27+AA28</f>
        <v>-3146.5775</v>
      </c>
      <c r="AB30" s="19" t="n">
        <f aca="false">AB23+AB25+AB26+AB27+AB28</f>
        <v>-3164.48833333333</v>
      </c>
      <c r="AC30" s="19" t="n">
        <f aca="false">AC23+AC25+AC26+AC27+AC28</f>
        <v>-3202.51333333333</v>
      </c>
      <c r="AD30" s="19" t="n">
        <f aca="false">AD23+AD25+AD26+AD27+AD28</f>
        <v>-3220.42416666667</v>
      </c>
      <c r="AE30" s="19" t="n">
        <f aca="false">AE23+AE25+AE26+AE27+AE28</f>
        <v>-3238.335</v>
      </c>
      <c r="AF30" s="19" t="n">
        <f aca="false">AF23+AF25+AF26+AF27+AF28</f>
        <v>-3276.36</v>
      </c>
      <c r="AG30" s="19" t="n">
        <f aca="false">AG23+AG25+AG26+AG27+AG28</f>
        <v>-3294.27083333333</v>
      </c>
      <c r="AH30" s="19" t="n">
        <f aca="false">AH23+AH25+AH26+AH27+AH28</f>
        <v>-3312.18166666667</v>
      </c>
      <c r="AI30" s="19" t="n">
        <f aca="false">AI23+AI25+AI26+AI27+AI28</f>
        <v>-3350.20666666667</v>
      </c>
      <c r="AJ30" s="19" t="n">
        <f aca="false">AJ23+AJ25+AJ26+AJ27+AJ28</f>
        <v>-3368.1175</v>
      </c>
      <c r="AK30" s="19" t="n">
        <f aca="false">AK23+AK25+AK26+AK27+AK28</f>
        <v>-3406.1425</v>
      </c>
      <c r="AL30" s="19" t="n">
        <f aca="false">AL23+AL25+AL26+AL27+AL28</f>
        <v>-3424.05333333333</v>
      </c>
    </row>
    <row r="32" customFormat="false" ht="15" hidden="false" customHeight="false" outlineLevel="0" collapsed="false">
      <c r="A32" s="18" t="s">
        <v>102</v>
      </c>
      <c r="B32" s="19" t="n">
        <f aca="false">B30</f>
        <v>-180</v>
      </c>
      <c r="C32" s="19" t="n">
        <f aca="false">B32+C30</f>
        <v>-1779.94833333333</v>
      </c>
      <c r="D32" s="19" t="n">
        <f aca="false">C32+D30</f>
        <v>-3389.64666666667</v>
      </c>
      <c r="E32" s="19" t="n">
        <f aca="false">D32+E30</f>
        <v>-4985.96</v>
      </c>
      <c r="F32" s="19" t="n">
        <f aca="false">E32+F30</f>
        <v>-5813.565</v>
      </c>
      <c r="G32" s="19" t="n">
        <f aca="false">F32+G30</f>
        <v>-6632.66</v>
      </c>
      <c r="H32" s="19" t="n">
        <f aca="false">G32+H30</f>
        <v>-7466.38</v>
      </c>
      <c r="I32" s="19" t="n">
        <f aca="false">H32+I30</f>
        <v>-10096.465</v>
      </c>
      <c r="J32" s="19" t="n">
        <f aca="false">I32+J30</f>
        <v>-12722.915</v>
      </c>
      <c r="K32" s="19" t="n">
        <f aca="false">J32+K30</f>
        <v>-15345.73</v>
      </c>
      <c r="L32" s="19" t="n">
        <f aca="false">K32+L30</f>
        <v>-17964.91</v>
      </c>
      <c r="M32" s="19" t="n">
        <f aca="false">L32+M30</f>
        <v>-20603.59</v>
      </c>
      <c r="N32" s="19" t="n">
        <f aca="false">M32+N30</f>
        <v>-23262.8016666667</v>
      </c>
      <c r="O32" s="19" t="n">
        <f aca="false">N32+O30</f>
        <v>-25031.1491666667</v>
      </c>
      <c r="P32" s="19" t="n">
        <f aca="false">O32+P30</f>
        <v>-26768.115</v>
      </c>
      <c r="Q32" s="19" t="n">
        <f aca="false">P32+Q30</f>
        <v>-28514.2166666667</v>
      </c>
      <c r="R32" s="19" t="n">
        <f aca="false">Q32+R30</f>
        <v>-30769.4541666667</v>
      </c>
      <c r="S32" s="19" t="n">
        <f aca="false">R32+S30</f>
        <v>-33053.9416666667</v>
      </c>
      <c r="T32" s="19" t="n">
        <f aca="false">S32+T30</f>
        <v>-35347.565</v>
      </c>
      <c r="U32" s="19" t="n">
        <f aca="false">T32+U30</f>
        <v>-38000.3241666667</v>
      </c>
      <c r="V32" s="19" t="n">
        <f aca="false">U32+V30</f>
        <v>-40662.2191666667</v>
      </c>
      <c r="W32" s="19" t="n">
        <f aca="false">V32+W30</f>
        <v>-43353.3641666667</v>
      </c>
      <c r="X32" s="19" t="n">
        <f aca="false">W32+X30</f>
        <v>-46053.645</v>
      </c>
      <c r="Y32" s="19" t="n">
        <f aca="false">X32+Y30</f>
        <v>-48783.1758333333</v>
      </c>
      <c r="Z32" s="19" t="n">
        <f aca="false">Y32+Z30</f>
        <v>-51521.8425</v>
      </c>
      <c r="AA32" s="19" t="n">
        <f aca="false">Z32+AA30</f>
        <v>-54668.42</v>
      </c>
      <c r="AB32" s="19" t="n">
        <f aca="false">AA32+AB30</f>
        <v>-57832.9083333333</v>
      </c>
      <c r="AC32" s="19" t="n">
        <f aca="false">AB32+AC30</f>
        <v>-61035.4216666667</v>
      </c>
      <c r="AD32" s="19" t="n">
        <f aca="false">AC32+AD30</f>
        <v>-64255.8458333333</v>
      </c>
      <c r="AE32" s="19" t="n">
        <f aca="false">AD32+AE30</f>
        <v>-67494.1808333333</v>
      </c>
      <c r="AF32" s="19" t="n">
        <f aca="false">AE32+AF30</f>
        <v>-70770.5408333333</v>
      </c>
      <c r="AG32" s="19" t="n">
        <f aca="false">AF32+AG30</f>
        <v>-74064.8116666667</v>
      </c>
      <c r="AH32" s="19" t="n">
        <f aca="false">AG32+AH30</f>
        <v>-77376.9933333333</v>
      </c>
      <c r="AI32" s="19" t="n">
        <f aca="false">AH32+AI30</f>
        <v>-80727.2</v>
      </c>
      <c r="AJ32" s="19" t="n">
        <f aca="false">AI32+AJ30</f>
        <v>-84095.3175</v>
      </c>
      <c r="AK32" s="19" t="n">
        <f aca="false">AJ32+AK30</f>
        <v>-87501.46</v>
      </c>
      <c r="AL32" s="19" t="n">
        <f aca="false">AK32+AL30</f>
        <v>-90925.5133333333</v>
      </c>
    </row>
  </sheetData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8" min="2" style="0" width="11"/>
  </cols>
  <sheetData>
    <row r="1" customFormat="false" ht="17.35" hidden="false" customHeight="fals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6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 t="s">
        <v>55</v>
      </c>
      <c r="M3" s="9" t="s">
        <v>56</v>
      </c>
      <c r="N3" s="9" t="s">
        <v>57</v>
      </c>
      <c r="O3" s="9" t="s">
        <v>58</v>
      </c>
      <c r="P3" s="9" t="s">
        <v>59</v>
      </c>
      <c r="Q3" s="9" t="s">
        <v>60</v>
      </c>
      <c r="R3" s="9" t="s">
        <v>61</v>
      </c>
      <c r="S3" s="9" t="s">
        <v>62</v>
      </c>
      <c r="T3" s="9" t="s">
        <v>63</v>
      </c>
      <c r="U3" s="9" t="s">
        <v>64</v>
      </c>
      <c r="V3" s="9" t="s">
        <v>65</v>
      </c>
      <c r="W3" s="9" t="s">
        <v>66</v>
      </c>
      <c r="X3" s="9" t="s">
        <v>67</v>
      </c>
      <c r="Y3" s="9" t="s">
        <v>68</v>
      </c>
      <c r="Z3" s="9" t="s">
        <v>69</v>
      </c>
      <c r="AA3" s="9" t="s">
        <v>70</v>
      </c>
      <c r="AB3" s="9" t="s">
        <v>71</v>
      </c>
      <c r="AC3" s="9" t="s">
        <v>72</v>
      </c>
      <c r="AD3" s="9" t="s">
        <v>73</v>
      </c>
      <c r="AE3" s="9" t="s">
        <v>74</v>
      </c>
      <c r="AF3" s="9" t="s">
        <v>75</v>
      </c>
      <c r="AG3" s="9" t="s">
        <v>76</v>
      </c>
      <c r="AH3" s="9" t="s">
        <v>77</v>
      </c>
      <c r="AI3" s="9" t="s">
        <v>78</v>
      </c>
      <c r="AJ3" s="9" t="s">
        <v>79</v>
      </c>
      <c r="AK3" s="9" t="s">
        <v>80</v>
      </c>
      <c r="AL3" s="9" t="s">
        <v>81</v>
      </c>
    </row>
    <row r="5" customFormat="false" ht="15" hidden="false" customHeight="false" outlineLevel="0" collapsed="false">
      <c r="A5" s="10" t="s">
        <v>82</v>
      </c>
      <c r="B5" s="11" t="n">
        <v>0</v>
      </c>
      <c r="C5" s="11" t="n">
        <f aca="false">Hypotheses!C10/12*0.5</f>
        <v>241.666666666667</v>
      </c>
      <c r="D5" s="11" t="n">
        <f aca="false">Hypotheses!C10/12*0.5</f>
        <v>241.666666666667</v>
      </c>
      <c r="E5" s="11" t="n">
        <f aca="false">Hypotheses!C10/12*0.5</f>
        <v>241.666666666667</v>
      </c>
      <c r="F5" s="11" t="n">
        <f aca="false">Hypotheses!C10/12*0.75</f>
        <v>362.5</v>
      </c>
      <c r="G5" s="11" t="n">
        <f aca="false">Hypotheses!C10/12*0.75</f>
        <v>362.5</v>
      </c>
      <c r="H5" s="11" t="n">
        <f aca="false">Hypotheses!C10/12*0.75</f>
        <v>362.5</v>
      </c>
      <c r="I5" s="11" t="n">
        <f aca="false">Hypotheses!C10/12</f>
        <v>483.333333333333</v>
      </c>
      <c r="J5" s="11" t="n">
        <f aca="false">Hypotheses!C10/12</f>
        <v>483.333333333333</v>
      </c>
      <c r="K5" s="11" t="n">
        <f aca="false">Hypotheses!C10/12</f>
        <v>483.333333333333</v>
      </c>
      <c r="L5" s="11" t="n">
        <f aca="false">Hypotheses!C10/12</f>
        <v>483.333333333333</v>
      </c>
      <c r="M5" s="11" t="n">
        <f aca="false">Hypotheses!C10/12</f>
        <v>483.333333333333</v>
      </c>
      <c r="N5" s="11" t="n">
        <f aca="false">Hypotheses!C10/12</f>
        <v>483.333333333333</v>
      </c>
      <c r="O5" s="11" t="n">
        <f aca="false">Hypotheses!C10/12*(1+Hypotheses!C11)</f>
        <v>966.666666666667</v>
      </c>
      <c r="P5" s="11" t="n">
        <f aca="false">Hypotheses!C10/12*(1+Hypotheses!C11)</f>
        <v>966.666666666667</v>
      </c>
      <c r="Q5" s="11" t="n">
        <f aca="false">Hypotheses!C10/12*(1+Hypotheses!C11)</f>
        <v>966.666666666667</v>
      </c>
      <c r="R5" s="11" t="n">
        <f aca="false">Hypotheses!C10/12*(1+Hypotheses!C11)</f>
        <v>966.666666666667</v>
      </c>
      <c r="S5" s="11" t="n">
        <f aca="false">Hypotheses!C10/12*(1+Hypotheses!C11)</f>
        <v>966.666666666667</v>
      </c>
      <c r="T5" s="11" t="n">
        <f aca="false">Hypotheses!C10/12*(1+Hypotheses!C11)</f>
        <v>966.666666666667</v>
      </c>
      <c r="U5" s="11" t="n">
        <f aca="false">Hypotheses!C10/12*(1+Hypotheses!C11)</f>
        <v>966.666666666667</v>
      </c>
      <c r="V5" s="11" t="n">
        <f aca="false">Hypotheses!C10/12*(1+Hypotheses!C11)</f>
        <v>966.666666666667</v>
      </c>
      <c r="W5" s="11" t="n">
        <f aca="false">Hypotheses!C10/12*(1+Hypotheses!C11)</f>
        <v>966.666666666667</v>
      </c>
      <c r="X5" s="11" t="n">
        <f aca="false">Hypotheses!C10/12*(1+Hypotheses!C11)</f>
        <v>966.666666666667</v>
      </c>
      <c r="Y5" s="11" t="n">
        <f aca="false">Hypotheses!C10/12*(1+Hypotheses!C11)</f>
        <v>966.666666666667</v>
      </c>
      <c r="Z5" s="11" t="n">
        <f aca="false">Hypotheses!C10/12*(1+Hypotheses!C11)</f>
        <v>966.666666666667</v>
      </c>
      <c r="AA5" s="11" t="n">
        <f aca="false">Hypotheses!C10/12*(1+Hypotheses!C11)*(1+Hypotheses!C12)</f>
        <v>1546.66666666667</v>
      </c>
      <c r="AB5" s="11" t="n">
        <f aca="false">Hypotheses!C10/12*(1+Hypotheses!C11)*(1+Hypotheses!C12)</f>
        <v>1546.66666666667</v>
      </c>
      <c r="AC5" s="11" t="n">
        <f aca="false">Hypotheses!C10/12*(1+Hypotheses!C11)*(1+Hypotheses!C12)</f>
        <v>1546.66666666667</v>
      </c>
      <c r="AD5" s="11" t="n">
        <f aca="false">Hypotheses!C10/12*(1+Hypotheses!C11)*(1+Hypotheses!C12)</f>
        <v>1546.66666666667</v>
      </c>
      <c r="AE5" s="11" t="n">
        <f aca="false">Hypotheses!C10/12*(1+Hypotheses!C11)*(1+Hypotheses!C12)</f>
        <v>1546.66666666667</v>
      </c>
      <c r="AF5" s="11" t="n">
        <f aca="false">Hypotheses!C10/12*(1+Hypotheses!C11)*(1+Hypotheses!C12)</f>
        <v>1546.66666666667</v>
      </c>
      <c r="AG5" s="11" t="n">
        <f aca="false">Hypotheses!C10/12*(1+Hypotheses!C11)*(1+Hypotheses!C12)</f>
        <v>1546.66666666667</v>
      </c>
      <c r="AH5" s="11" t="n">
        <f aca="false">Hypotheses!C10/12*(1+Hypotheses!C11)*(1+Hypotheses!C12)</f>
        <v>1546.66666666667</v>
      </c>
      <c r="AI5" s="11" t="n">
        <f aca="false">Hypotheses!C10/12*(1+Hypotheses!C11)*(1+Hypotheses!C12)</f>
        <v>1546.66666666667</v>
      </c>
      <c r="AJ5" s="11" t="n">
        <f aca="false">Hypotheses!C10/12*(1+Hypotheses!C11)*(1+Hypotheses!C12)</f>
        <v>1546.66666666667</v>
      </c>
      <c r="AK5" s="11" t="n">
        <f aca="false">Hypotheses!C10/12*(1+Hypotheses!C11)*(1+Hypotheses!C12)</f>
        <v>1546.66666666667</v>
      </c>
      <c r="AL5" s="11" t="n">
        <f aca="false">Hypotheses!C10/12*(1+Hypotheses!C11)*(1+Hypotheses!C12)</f>
        <v>1546.66666666667</v>
      </c>
    </row>
    <row r="6" customFormat="false" ht="15" hidden="false" customHeight="false" outlineLevel="0" collapsed="false">
      <c r="A6" s="10" t="s">
        <v>83</v>
      </c>
      <c r="B6" s="12" t="n">
        <f aca="false">B5</f>
        <v>0</v>
      </c>
      <c r="C6" s="12" t="n">
        <f aca="false">B6+C5</f>
        <v>241.666666666667</v>
      </c>
      <c r="D6" s="12" t="n">
        <f aca="false">C6+D5</f>
        <v>483.333333333333</v>
      </c>
      <c r="E6" s="12" t="n">
        <f aca="false">D6+E5</f>
        <v>725</v>
      </c>
      <c r="F6" s="12" t="n">
        <f aca="false">E6+F5</f>
        <v>1087.5</v>
      </c>
      <c r="G6" s="12" t="n">
        <f aca="false">F6+G5</f>
        <v>1450</v>
      </c>
      <c r="H6" s="12" t="n">
        <f aca="false">G6+H5</f>
        <v>1812.5</v>
      </c>
      <c r="I6" s="12" t="n">
        <f aca="false">H6+I5</f>
        <v>2295.83333333333</v>
      </c>
      <c r="J6" s="12" t="n">
        <f aca="false">I6+J5</f>
        <v>2779.16666666667</v>
      </c>
      <c r="K6" s="12" t="n">
        <f aca="false">J6+K5</f>
        <v>3262.5</v>
      </c>
      <c r="L6" s="12" t="n">
        <f aca="false">K6+L5</f>
        <v>3745.83333333333</v>
      </c>
      <c r="M6" s="12" t="n">
        <f aca="false">L6+M5</f>
        <v>4229.16666666667</v>
      </c>
      <c r="N6" s="12" t="n">
        <f aca="false">M6+N5</f>
        <v>4712.5</v>
      </c>
      <c r="O6" s="12" t="n">
        <f aca="false">N6+O5</f>
        <v>5679.16666666667</v>
      </c>
      <c r="P6" s="12" t="n">
        <f aca="false">O6+P5</f>
        <v>6645.83333333333</v>
      </c>
      <c r="Q6" s="12" t="n">
        <f aca="false">P6+Q5</f>
        <v>7612.5</v>
      </c>
      <c r="R6" s="12" t="n">
        <f aca="false">Q6+R5</f>
        <v>8579.16666666667</v>
      </c>
      <c r="S6" s="12" t="n">
        <f aca="false">R6+S5</f>
        <v>9545.83333333333</v>
      </c>
      <c r="T6" s="12" t="n">
        <f aca="false">S6+T5</f>
        <v>10512.5</v>
      </c>
      <c r="U6" s="12" t="n">
        <f aca="false">T6+U5</f>
        <v>11479.1666666667</v>
      </c>
      <c r="V6" s="12" t="n">
        <f aca="false">U6+V5</f>
        <v>12445.8333333333</v>
      </c>
      <c r="W6" s="12" t="n">
        <f aca="false">V6+W5</f>
        <v>13412.5</v>
      </c>
      <c r="X6" s="12" t="n">
        <f aca="false">W6+X5</f>
        <v>14379.1666666667</v>
      </c>
      <c r="Y6" s="12" t="n">
        <f aca="false">X6+Y5</f>
        <v>15345.8333333333</v>
      </c>
      <c r="Z6" s="12" t="n">
        <f aca="false">Y6+Z5</f>
        <v>16312.5</v>
      </c>
      <c r="AA6" s="12" t="n">
        <f aca="false">Z6+AA5</f>
        <v>17859.1666666667</v>
      </c>
      <c r="AB6" s="12" t="n">
        <f aca="false">AA6+AB5</f>
        <v>19405.8333333333</v>
      </c>
      <c r="AC6" s="12" t="n">
        <f aca="false">AB6+AC5</f>
        <v>20952.5</v>
      </c>
      <c r="AD6" s="12" t="n">
        <f aca="false">AC6+AD5</f>
        <v>22499.1666666667</v>
      </c>
      <c r="AE6" s="12" t="n">
        <f aca="false">AD6+AE5</f>
        <v>24045.8333333333</v>
      </c>
      <c r="AF6" s="12" t="n">
        <f aca="false">AE6+AF5</f>
        <v>25592.5</v>
      </c>
      <c r="AG6" s="12" t="n">
        <f aca="false">AF6+AG5</f>
        <v>27139.1666666667</v>
      </c>
      <c r="AH6" s="12" t="n">
        <f aca="false">AG6+AH5</f>
        <v>28685.8333333333</v>
      </c>
      <c r="AI6" s="12" t="n">
        <f aca="false">AH6+AI5</f>
        <v>30232.5</v>
      </c>
      <c r="AJ6" s="12" t="n">
        <f aca="false">AI6+AJ5</f>
        <v>31779.1666666667</v>
      </c>
      <c r="AK6" s="12" t="n">
        <f aca="false">AJ6+AK5</f>
        <v>33325.8333333333</v>
      </c>
      <c r="AL6" s="12" t="n">
        <f aca="false">AK6+AL5</f>
        <v>34872.5</v>
      </c>
    </row>
    <row r="7" customFormat="false" ht="15" hidden="false" customHeight="false" outlineLevel="0" collapsed="false">
      <c r="A7" s="10" t="s">
        <v>84</v>
      </c>
      <c r="B7" s="13" t="n">
        <f aca="false">B5*Hypotheses!C13</f>
        <v>0</v>
      </c>
      <c r="C7" s="13" t="n">
        <f aca="false">C5*Hypotheses!C13</f>
        <v>7.25</v>
      </c>
      <c r="D7" s="13" t="n">
        <f aca="false">D5*Hypotheses!C13</f>
        <v>7.25</v>
      </c>
      <c r="E7" s="13" t="n">
        <f aca="false">E5*Hypotheses!C13</f>
        <v>7.25</v>
      </c>
      <c r="F7" s="13" t="n">
        <f aca="false">F5*Hypotheses!C13</f>
        <v>10.875</v>
      </c>
      <c r="G7" s="13" t="n">
        <f aca="false">G5*Hypotheses!C13</f>
        <v>10.875</v>
      </c>
      <c r="H7" s="13" t="n">
        <f aca="false">H5*Hypotheses!C13</f>
        <v>10.875</v>
      </c>
      <c r="I7" s="13" t="n">
        <f aca="false">I5*Hypotheses!C13</f>
        <v>14.5</v>
      </c>
      <c r="J7" s="13" t="n">
        <f aca="false">J5*Hypotheses!C13</f>
        <v>14.5</v>
      </c>
      <c r="K7" s="13" t="n">
        <f aca="false">K5*Hypotheses!C13</f>
        <v>14.5</v>
      </c>
      <c r="L7" s="13" t="n">
        <f aca="false">L5*Hypotheses!C13</f>
        <v>14.5</v>
      </c>
      <c r="M7" s="13" t="n">
        <f aca="false">M5*Hypotheses!C13</f>
        <v>14.5</v>
      </c>
      <c r="N7" s="13" t="n">
        <f aca="false">N5*Hypotheses!C13</f>
        <v>14.5</v>
      </c>
      <c r="O7" s="13" t="n">
        <f aca="false">O5*Hypotheses!C13</f>
        <v>29</v>
      </c>
      <c r="P7" s="13" t="n">
        <f aca="false">P5*Hypotheses!C13</f>
        <v>29</v>
      </c>
      <c r="Q7" s="13" t="n">
        <f aca="false">Q5*Hypotheses!C13</f>
        <v>29</v>
      </c>
      <c r="R7" s="13" t="n">
        <f aca="false">R5*Hypotheses!C13</f>
        <v>29</v>
      </c>
      <c r="S7" s="13" t="n">
        <f aca="false">S5*Hypotheses!C13</f>
        <v>29</v>
      </c>
      <c r="T7" s="13" t="n">
        <f aca="false">T5*Hypotheses!C13</f>
        <v>29</v>
      </c>
      <c r="U7" s="13" t="n">
        <f aca="false">U5*Hypotheses!C13</f>
        <v>29</v>
      </c>
      <c r="V7" s="13" t="n">
        <f aca="false">V5*Hypotheses!C13</f>
        <v>29</v>
      </c>
      <c r="W7" s="13" t="n">
        <f aca="false">W5*Hypotheses!C13</f>
        <v>29</v>
      </c>
      <c r="X7" s="13" t="n">
        <f aca="false">X5*Hypotheses!C13</f>
        <v>29</v>
      </c>
      <c r="Y7" s="13" t="n">
        <f aca="false">Y5*Hypotheses!C13</f>
        <v>29</v>
      </c>
      <c r="Z7" s="13" t="n">
        <f aca="false">Z5*Hypotheses!C13</f>
        <v>29</v>
      </c>
      <c r="AA7" s="13" t="n">
        <f aca="false">AA5*Hypotheses!C13</f>
        <v>46.4</v>
      </c>
      <c r="AB7" s="13" t="n">
        <f aca="false">AB5*Hypotheses!C13</f>
        <v>46.4</v>
      </c>
      <c r="AC7" s="13" t="n">
        <f aca="false">AC5*Hypotheses!C13</f>
        <v>46.4</v>
      </c>
      <c r="AD7" s="13" t="n">
        <f aca="false">AD5*Hypotheses!C13</f>
        <v>46.4</v>
      </c>
      <c r="AE7" s="13" t="n">
        <f aca="false">AE5*Hypotheses!C13</f>
        <v>46.4</v>
      </c>
      <c r="AF7" s="13" t="n">
        <f aca="false">AF5*Hypotheses!C13</f>
        <v>46.4</v>
      </c>
      <c r="AG7" s="13" t="n">
        <f aca="false">AG5*Hypotheses!C13</f>
        <v>46.4</v>
      </c>
      <c r="AH7" s="13" t="n">
        <f aca="false">AH5*Hypotheses!C13</f>
        <v>46.4</v>
      </c>
      <c r="AI7" s="13" t="n">
        <f aca="false">AI5*Hypotheses!C13</f>
        <v>46.4</v>
      </c>
      <c r="AJ7" s="13" t="n">
        <f aca="false">AJ5*Hypotheses!C13</f>
        <v>46.4</v>
      </c>
      <c r="AK7" s="13" t="n">
        <f aca="false">AK5*Hypotheses!C13</f>
        <v>46.4</v>
      </c>
      <c r="AL7" s="13" t="n">
        <f aca="false">AL5*Hypotheses!C13</f>
        <v>46.4</v>
      </c>
    </row>
    <row r="8" customFormat="false" ht="15" hidden="false" customHeight="false" outlineLevel="0" collapsed="false">
      <c r="A8" s="10" t="s">
        <v>85</v>
      </c>
      <c r="B8" s="13" t="n">
        <f aca="false">B7</f>
        <v>0</v>
      </c>
      <c r="C8" s="13" t="n">
        <f aca="false">B8*(1-Hypotheses!C14)+C7</f>
        <v>7.25</v>
      </c>
      <c r="D8" s="13" t="n">
        <f aca="false">C8*(1-Hypotheses!C14)+D7</f>
        <v>14.1375</v>
      </c>
      <c r="E8" s="13" t="n">
        <f aca="false">D8*(1-Hypotheses!C14)+E7</f>
        <v>20.680625</v>
      </c>
      <c r="F8" s="13" t="n">
        <f aca="false">E8*(1-Hypotheses!C14)+F7</f>
        <v>30.52159375</v>
      </c>
      <c r="G8" s="13" t="n">
        <f aca="false">F8*(1-Hypotheses!C14)+G7</f>
        <v>39.8705140625</v>
      </c>
      <c r="H8" s="13" t="n">
        <f aca="false">G8*(1-Hypotheses!C14)+H7</f>
        <v>48.751988359375</v>
      </c>
      <c r="I8" s="13" t="n">
        <f aca="false">H8*(1-Hypotheses!C14)+I7</f>
        <v>60.8143889414062</v>
      </c>
      <c r="J8" s="13" t="n">
        <f aca="false">I8*(1-Hypotheses!C14)+J7</f>
        <v>72.2736694943359</v>
      </c>
      <c r="K8" s="13" t="n">
        <f aca="false">J8*(1-Hypotheses!C14)+K7</f>
        <v>83.1599860196191</v>
      </c>
      <c r="L8" s="13" t="n">
        <f aca="false">K8*(1-Hypotheses!C14)+L7</f>
        <v>93.5019867186382</v>
      </c>
      <c r="M8" s="13" t="n">
        <f aca="false">L8*(1-Hypotheses!C14)+M7</f>
        <v>103.326887382706</v>
      </c>
      <c r="N8" s="13" t="n">
        <f aca="false">M8*(1-Hypotheses!C14)+N7</f>
        <v>112.660543013571</v>
      </c>
      <c r="O8" s="13" t="n">
        <f aca="false">N8*(1-Hypotheses!C14)+O7</f>
        <v>136.027515862892</v>
      </c>
      <c r="P8" s="13" t="n">
        <f aca="false">O8*(1-Hypotheses!C14)+P7</f>
        <v>158.226140069748</v>
      </c>
      <c r="Q8" s="13" t="n">
        <f aca="false">P8*(1-Hypotheses!C14)+Q7</f>
        <v>179.31483306626</v>
      </c>
      <c r="R8" s="13" t="n">
        <f aca="false">Q8*(1-Hypotheses!C14)+R7</f>
        <v>199.349091412947</v>
      </c>
      <c r="S8" s="13" t="n">
        <f aca="false">R8*(1-Hypotheses!C14)+S7</f>
        <v>218.3816368423</v>
      </c>
      <c r="T8" s="13" t="n">
        <f aca="false">S8*(1-Hypotheses!C14)+T7</f>
        <v>236.462555000185</v>
      </c>
      <c r="U8" s="13" t="n">
        <f aca="false">T8*(1-Hypotheses!C14)+U7</f>
        <v>253.639427250176</v>
      </c>
      <c r="V8" s="13" t="n">
        <f aca="false">U8*(1-Hypotheses!C14)+V7</f>
        <v>269.957455887667</v>
      </c>
      <c r="W8" s="13" t="n">
        <f aca="false">V8*(1-Hypotheses!C14)+W7</f>
        <v>285.459583093284</v>
      </c>
      <c r="X8" s="13" t="n">
        <f aca="false">W8*(1-Hypotheses!C14)+X7</f>
        <v>300.186603938619</v>
      </c>
      <c r="Y8" s="13" t="n">
        <f aca="false">X8*(1-Hypotheses!C14)+Y7</f>
        <v>314.177273741688</v>
      </c>
      <c r="Z8" s="13" t="n">
        <f aca="false">Y8*(1-Hypotheses!C14)+Z7</f>
        <v>327.468410054604</v>
      </c>
      <c r="AA8" s="13" t="n">
        <f aca="false">Z8*(1-Hypotheses!C14)+AA7</f>
        <v>357.494989551874</v>
      </c>
      <c r="AB8" s="13" t="n">
        <f aca="false">AA8*(1-Hypotheses!C14)+AB7</f>
        <v>386.02024007428</v>
      </c>
      <c r="AC8" s="13" t="n">
        <f aca="false">AB8*(1-Hypotheses!C14)+AC7</f>
        <v>413.119228070566</v>
      </c>
      <c r="AD8" s="13" t="n">
        <f aca="false">AC8*(1-Hypotheses!C14)+AD7</f>
        <v>438.863266667038</v>
      </c>
      <c r="AE8" s="13" t="n">
        <f aca="false">AD8*(1-Hypotheses!C14)+AE7</f>
        <v>463.320103333686</v>
      </c>
      <c r="AF8" s="13" t="n">
        <f aca="false">AE8*(1-Hypotheses!C14)+AF7</f>
        <v>486.554098167001</v>
      </c>
      <c r="AG8" s="13" t="n">
        <f aca="false">AF8*(1-Hypotheses!C14)+AG7</f>
        <v>508.626393258651</v>
      </c>
      <c r="AH8" s="13" t="n">
        <f aca="false">AG8*(1-Hypotheses!C14)+AH7</f>
        <v>529.595073595719</v>
      </c>
      <c r="AI8" s="13" t="n">
        <f aca="false">AH8*(1-Hypotheses!C14)+AI7</f>
        <v>549.515319915933</v>
      </c>
      <c r="AJ8" s="13" t="n">
        <f aca="false">AI8*(1-Hypotheses!C14)+AJ7</f>
        <v>568.439553920136</v>
      </c>
      <c r="AK8" s="13" t="n">
        <f aca="false">AJ8*(1-Hypotheses!C14)+AK7</f>
        <v>586.417576224129</v>
      </c>
      <c r="AL8" s="13" t="n">
        <f aca="false">AK8*(1-Hypotheses!C14)+AL7</f>
        <v>603.496697412923</v>
      </c>
    </row>
    <row r="10" customFormat="false" ht="15" hidden="false" customHeight="false" outlineLevel="0" collapsed="false">
      <c r="A10" s="10" t="s">
        <v>86</v>
      </c>
      <c r="B10" s="12" t="n">
        <f aca="false">ROUND(B8,0)</f>
        <v>0</v>
      </c>
      <c r="C10" s="12" t="n">
        <f aca="false">ROUND(C8,0)</f>
        <v>7</v>
      </c>
      <c r="D10" s="12" t="n">
        <f aca="false">ROUND(D8,0)</f>
        <v>14</v>
      </c>
      <c r="E10" s="12" t="n">
        <f aca="false">ROUND(E8,0)</f>
        <v>21</v>
      </c>
      <c r="F10" s="12" t="n">
        <f aca="false">ROUND(F8,0)</f>
        <v>31</v>
      </c>
      <c r="G10" s="12" t="n">
        <f aca="false">ROUND(G8,0)</f>
        <v>40</v>
      </c>
      <c r="H10" s="12" t="n">
        <f aca="false">ROUND(H8,0)</f>
        <v>49</v>
      </c>
      <c r="I10" s="12" t="n">
        <f aca="false">ROUND(I8,0)</f>
        <v>61</v>
      </c>
      <c r="J10" s="12" t="n">
        <f aca="false">ROUND(J8,0)</f>
        <v>72</v>
      </c>
      <c r="K10" s="12" t="n">
        <f aca="false">ROUND(K8,0)</f>
        <v>83</v>
      </c>
      <c r="L10" s="12" t="n">
        <f aca="false">ROUND(L8,0)</f>
        <v>94</v>
      </c>
      <c r="M10" s="12" t="n">
        <f aca="false">ROUND(M8,0)</f>
        <v>103</v>
      </c>
      <c r="N10" s="12" t="n">
        <f aca="false">ROUND(N8,0)</f>
        <v>113</v>
      </c>
      <c r="O10" s="12" t="n">
        <f aca="false">ROUND(O8,0)</f>
        <v>136</v>
      </c>
      <c r="P10" s="12" t="n">
        <f aca="false">ROUND(P8,0)</f>
        <v>158</v>
      </c>
      <c r="Q10" s="12" t="n">
        <f aca="false">ROUND(Q8,0)</f>
        <v>179</v>
      </c>
      <c r="R10" s="12" t="n">
        <f aca="false">ROUND(R8,0)</f>
        <v>199</v>
      </c>
      <c r="S10" s="12" t="n">
        <f aca="false">ROUND(S8,0)</f>
        <v>218</v>
      </c>
      <c r="T10" s="12" t="n">
        <f aca="false">ROUND(T8,0)</f>
        <v>236</v>
      </c>
      <c r="U10" s="12" t="n">
        <f aca="false">ROUND(U8,0)</f>
        <v>254</v>
      </c>
      <c r="V10" s="12" t="n">
        <f aca="false">ROUND(V8,0)</f>
        <v>270</v>
      </c>
      <c r="W10" s="12" t="n">
        <f aca="false">ROUND(W8,0)</f>
        <v>285</v>
      </c>
      <c r="X10" s="12" t="n">
        <f aca="false">ROUND(X8,0)</f>
        <v>300</v>
      </c>
      <c r="Y10" s="12" t="n">
        <f aca="false">ROUND(Y8,0)</f>
        <v>314</v>
      </c>
      <c r="Z10" s="12" t="n">
        <f aca="false">ROUND(Z8,0)</f>
        <v>327</v>
      </c>
      <c r="AA10" s="12" t="n">
        <f aca="false">ROUND(AA8,0)</f>
        <v>357</v>
      </c>
      <c r="AB10" s="12" t="n">
        <f aca="false">ROUND(AB8,0)</f>
        <v>386</v>
      </c>
      <c r="AC10" s="12" t="n">
        <f aca="false">ROUND(AC8,0)</f>
        <v>413</v>
      </c>
      <c r="AD10" s="12" t="n">
        <f aca="false">ROUND(AD8,0)</f>
        <v>439</v>
      </c>
      <c r="AE10" s="12" t="n">
        <f aca="false">ROUND(AE8,0)</f>
        <v>463</v>
      </c>
      <c r="AF10" s="12" t="n">
        <f aca="false">ROUND(AF8,0)</f>
        <v>487</v>
      </c>
      <c r="AG10" s="12" t="n">
        <f aca="false">ROUND(AG8,0)</f>
        <v>509</v>
      </c>
      <c r="AH10" s="12" t="n">
        <f aca="false">ROUND(AH8,0)</f>
        <v>530</v>
      </c>
      <c r="AI10" s="12" t="n">
        <f aca="false">ROUND(AI8,0)</f>
        <v>550</v>
      </c>
      <c r="AJ10" s="12" t="n">
        <f aca="false">ROUND(AJ8,0)</f>
        <v>568</v>
      </c>
      <c r="AK10" s="12" t="n">
        <f aca="false">ROUND(AK8,0)</f>
        <v>586</v>
      </c>
      <c r="AL10" s="12" t="n">
        <f aca="false">ROUND(AL8,0)</f>
        <v>603</v>
      </c>
    </row>
    <row r="12" customFormat="false" ht="15" hidden="false" customHeight="false" outlineLevel="0" collapsed="false">
      <c r="A12" s="10" t="s">
        <v>87</v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f aca="false">ROUND(F10*Hypotheses!C18,0)</f>
        <v>3</v>
      </c>
      <c r="G12" s="12" t="n">
        <f aca="false">ROUND(G10*Hypotheses!C18,0)</f>
        <v>4</v>
      </c>
      <c r="H12" s="12" t="n">
        <f aca="false">ROUND(H10*Hypotheses!C18,0)</f>
        <v>5</v>
      </c>
      <c r="I12" s="12" t="n">
        <f aca="false">ROUND(I10*Hypotheses!C18,0)</f>
        <v>6</v>
      </c>
      <c r="J12" s="12" t="n">
        <f aca="false">ROUND(J10*Hypotheses!C18,0)</f>
        <v>7</v>
      </c>
      <c r="K12" s="12" t="n">
        <f aca="false">ROUND(K10*Hypotheses!C18,0)</f>
        <v>8</v>
      </c>
      <c r="L12" s="12" t="n">
        <f aca="false">ROUND(L10*Hypotheses!C18,0)</f>
        <v>9</v>
      </c>
      <c r="M12" s="12" t="n">
        <f aca="false">ROUND(M10*Hypotheses!C18,0)</f>
        <v>10</v>
      </c>
      <c r="N12" s="12" t="n">
        <f aca="false">ROUND(N10*Hypotheses!C18,0)</f>
        <v>11</v>
      </c>
      <c r="O12" s="12" t="n">
        <f aca="false">ROUND(O10*Hypotheses!C18,0)</f>
        <v>14</v>
      </c>
      <c r="P12" s="12" t="n">
        <f aca="false">ROUND(P10*Hypotheses!C18,0)</f>
        <v>16</v>
      </c>
      <c r="Q12" s="12" t="n">
        <f aca="false">ROUND(Q10*Hypotheses!C18,0)</f>
        <v>18</v>
      </c>
      <c r="R12" s="12" t="n">
        <f aca="false">ROUND(R10*Hypotheses!C18,0)</f>
        <v>20</v>
      </c>
      <c r="S12" s="12" t="n">
        <f aca="false">ROUND(S10*Hypotheses!C18,0)</f>
        <v>22</v>
      </c>
      <c r="T12" s="12" t="n">
        <f aca="false">ROUND(T10*Hypotheses!C18,0)</f>
        <v>24</v>
      </c>
      <c r="U12" s="12" t="n">
        <f aca="false">ROUND(U10*Hypotheses!C18,0)</f>
        <v>25</v>
      </c>
      <c r="V12" s="12" t="n">
        <f aca="false">ROUND(V10*Hypotheses!C18,0)</f>
        <v>27</v>
      </c>
      <c r="W12" s="12" t="n">
        <f aca="false">ROUND(W10*Hypotheses!C18,0)</f>
        <v>29</v>
      </c>
      <c r="X12" s="12" t="n">
        <f aca="false">ROUND(X10*Hypotheses!C18,0)</f>
        <v>30</v>
      </c>
      <c r="Y12" s="12" t="n">
        <f aca="false">ROUND(Y10*Hypotheses!C18,0)</f>
        <v>31</v>
      </c>
      <c r="Z12" s="12" t="n">
        <f aca="false">ROUND(Z10*Hypotheses!C18,0)</f>
        <v>33</v>
      </c>
      <c r="AA12" s="12" t="n">
        <f aca="false">ROUND(AA10*Hypotheses!C18,0)</f>
        <v>36</v>
      </c>
      <c r="AB12" s="12" t="n">
        <f aca="false">ROUND(AB10*Hypotheses!C18,0)</f>
        <v>39</v>
      </c>
      <c r="AC12" s="12" t="n">
        <f aca="false">ROUND(AC10*Hypotheses!C18,0)</f>
        <v>41</v>
      </c>
      <c r="AD12" s="12" t="n">
        <f aca="false">ROUND(AD10*Hypotheses!C18,0)</f>
        <v>44</v>
      </c>
      <c r="AE12" s="12" t="n">
        <f aca="false">ROUND(AE10*Hypotheses!C18,0)</f>
        <v>46</v>
      </c>
      <c r="AF12" s="12" t="n">
        <f aca="false">ROUND(AF10*Hypotheses!C18,0)</f>
        <v>49</v>
      </c>
      <c r="AG12" s="12" t="n">
        <f aca="false">ROUND(AG10*Hypotheses!C18,0)</f>
        <v>51</v>
      </c>
      <c r="AH12" s="12" t="n">
        <f aca="false">ROUND(AH10*Hypotheses!C18,0)</f>
        <v>53</v>
      </c>
      <c r="AI12" s="12" t="n">
        <f aca="false">ROUND(AI10*Hypotheses!C18,0)</f>
        <v>55</v>
      </c>
      <c r="AJ12" s="12" t="n">
        <f aca="false">ROUND(AJ10*Hypotheses!C18,0)</f>
        <v>57</v>
      </c>
      <c r="AK12" s="12" t="n">
        <f aca="false">ROUND(AK10*Hypotheses!C18,0)</f>
        <v>59</v>
      </c>
      <c r="AL12" s="12" t="n">
        <f aca="false">ROUND(AL10*Hypotheses!C18,0)</f>
        <v>60</v>
      </c>
    </row>
    <row r="13" customFormat="false" ht="15" hidden="false" customHeight="false" outlineLevel="0" collapsed="false">
      <c r="A13" s="10" t="s">
        <v>88</v>
      </c>
      <c r="B13" s="12" t="n">
        <f aca="false">B12*Hypotheses!C19</f>
        <v>0</v>
      </c>
      <c r="C13" s="12" t="n">
        <f aca="false">C12*Hypotheses!C19</f>
        <v>0</v>
      </c>
      <c r="D13" s="12" t="n">
        <f aca="false">D12*Hypotheses!C19</f>
        <v>0</v>
      </c>
      <c r="E13" s="12" t="n">
        <f aca="false">E12*Hypotheses!C19</f>
        <v>0</v>
      </c>
      <c r="F13" s="12" t="n">
        <f aca="false">F12*Hypotheses!C19</f>
        <v>12</v>
      </c>
      <c r="G13" s="12" t="n">
        <f aca="false">G12*Hypotheses!C19</f>
        <v>16</v>
      </c>
      <c r="H13" s="12" t="n">
        <f aca="false">H12*Hypotheses!C19</f>
        <v>20</v>
      </c>
      <c r="I13" s="12" t="n">
        <f aca="false">I12*Hypotheses!C19</f>
        <v>24</v>
      </c>
      <c r="J13" s="12" t="n">
        <f aca="false">J12*Hypotheses!C19</f>
        <v>28</v>
      </c>
      <c r="K13" s="12" t="n">
        <f aca="false">K12*Hypotheses!C19</f>
        <v>32</v>
      </c>
      <c r="L13" s="12" t="n">
        <f aca="false">L12*Hypotheses!C19</f>
        <v>36</v>
      </c>
      <c r="M13" s="12" t="n">
        <f aca="false">M12*Hypotheses!C19</f>
        <v>40</v>
      </c>
      <c r="N13" s="12" t="n">
        <f aca="false">N12*Hypotheses!C19</f>
        <v>44</v>
      </c>
      <c r="O13" s="12" t="n">
        <f aca="false">O12*Hypotheses!C19</f>
        <v>56</v>
      </c>
      <c r="P13" s="12" t="n">
        <f aca="false">P12*Hypotheses!C19</f>
        <v>64</v>
      </c>
      <c r="Q13" s="12" t="n">
        <f aca="false">Q12*Hypotheses!C19</f>
        <v>72</v>
      </c>
      <c r="R13" s="12" t="n">
        <f aca="false">R12*Hypotheses!C19</f>
        <v>80</v>
      </c>
      <c r="S13" s="12" t="n">
        <f aca="false">S12*Hypotheses!C19</f>
        <v>88</v>
      </c>
      <c r="T13" s="12" t="n">
        <f aca="false">T12*Hypotheses!C19</f>
        <v>96</v>
      </c>
      <c r="U13" s="12" t="n">
        <f aca="false">U12*Hypotheses!C19</f>
        <v>100</v>
      </c>
      <c r="V13" s="12" t="n">
        <f aca="false">V12*Hypotheses!C19</f>
        <v>108</v>
      </c>
      <c r="W13" s="12" t="n">
        <f aca="false">W12*Hypotheses!C19</f>
        <v>116</v>
      </c>
      <c r="X13" s="12" t="n">
        <f aca="false">X12*Hypotheses!C19</f>
        <v>120</v>
      </c>
      <c r="Y13" s="12" t="n">
        <f aca="false">Y12*Hypotheses!C19</f>
        <v>124</v>
      </c>
      <c r="Z13" s="12" t="n">
        <f aca="false">Z12*Hypotheses!C19</f>
        <v>132</v>
      </c>
      <c r="AA13" s="12" t="n">
        <f aca="false">AA12*Hypotheses!C19</f>
        <v>144</v>
      </c>
      <c r="AB13" s="12" t="n">
        <f aca="false">AB12*Hypotheses!C19</f>
        <v>156</v>
      </c>
      <c r="AC13" s="12" t="n">
        <f aca="false">AC12*Hypotheses!C19</f>
        <v>164</v>
      </c>
      <c r="AD13" s="12" t="n">
        <f aca="false">AD12*Hypotheses!C19</f>
        <v>176</v>
      </c>
      <c r="AE13" s="12" t="n">
        <f aca="false">AE12*Hypotheses!C19</f>
        <v>184</v>
      </c>
      <c r="AF13" s="12" t="n">
        <f aca="false">AF12*Hypotheses!C19</f>
        <v>196</v>
      </c>
      <c r="AG13" s="12" t="n">
        <f aca="false">AG12*Hypotheses!C19</f>
        <v>204</v>
      </c>
      <c r="AH13" s="12" t="n">
        <f aca="false">AH12*Hypotheses!C19</f>
        <v>212</v>
      </c>
      <c r="AI13" s="12" t="n">
        <f aca="false">AI12*Hypotheses!C19</f>
        <v>220</v>
      </c>
      <c r="AJ13" s="12" t="n">
        <f aca="false">AJ12*Hypotheses!C19</f>
        <v>228</v>
      </c>
      <c r="AK13" s="12" t="n">
        <f aca="false">AK12*Hypotheses!C19</f>
        <v>236</v>
      </c>
      <c r="AL13" s="12" t="n">
        <f aca="false">AL12*Hypotheses!C19</f>
        <v>240</v>
      </c>
    </row>
    <row r="15" customFormat="false" ht="15" hidden="false" customHeight="false" outlineLevel="0" collapsed="false">
      <c r="A15" s="10" t="s">
        <v>89</v>
      </c>
      <c r="B15" s="5" t="n">
        <f aca="false">B10*Hypotheses!C6</f>
        <v>0</v>
      </c>
      <c r="C15" s="5" t="n">
        <f aca="false">C10*Hypotheses!C6</f>
        <v>169.166666666667</v>
      </c>
      <c r="D15" s="5" t="n">
        <f aca="false">D10*Hypotheses!C6</f>
        <v>338.333333333333</v>
      </c>
      <c r="E15" s="5" t="n">
        <f aca="false">E10*Hypotheses!C6</f>
        <v>507.5</v>
      </c>
      <c r="F15" s="5" t="n">
        <f aca="false">F10*Hypotheses!C6</f>
        <v>749.166666666667</v>
      </c>
      <c r="G15" s="5" t="n">
        <f aca="false">G10*Hypotheses!C6</f>
        <v>966.666666666667</v>
      </c>
      <c r="H15" s="5" t="n">
        <f aca="false">H10*Hypotheses!C6</f>
        <v>1184.16666666667</v>
      </c>
      <c r="I15" s="5" t="n">
        <f aca="false">I10*Hypotheses!C6</f>
        <v>1474.16666666667</v>
      </c>
      <c r="J15" s="5" t="n">
        <f aca="false">J10*Hypotheses!C6</f>
        <v>1740</v>
      </c>
      <c r="K15" s="5" t="n">
        <f aca="false">K10*Hypotheses!C6</f>
        <v>2005.83333333333</v>
      </c>
      <c r="L15" s="5" t="n">
        <f aca="false">L10*Hypotheses!C6</f>
        <v>2271.66666666667</v>
      </c>
      <c r="M15" s="5" t="n">
        <f aca="false">M10*Hypotheses!C6</f>
        <v>2489.16666666667</v>
      </c>
      <c r="N15" s="5" t="n">
        <f aca="false">N10*Hypotheses!C6</f>
        <v>2730.83333333333</v>
      </c>
      <c r="O15" s="5" t="n">
        <f aca="false">O10*Hypotheses!C6</f>
        <v>3286.66666666667</v>
      </c>
      <c r="P15" s="5" t="n">
        <f aca="false">P10*Hypotheses!C6</f>
        <v>3818.33333333333</v>
      </c>
      <c r="Q15" s="5" t="n">
        <f aca="false">Q10*Hypotheses!C6</f>
        <v>4325.83333333333</v>
      </c>
      <c r="R15" s="5" t="n">
        <f aca="false">R10*Hypotheses!C6</f>
        <v>4809.16666666667</v>
      </c>
      <c r="S15" s="5" t="n">
        <f aca="false">S10*Hypotheses!C6</f>
        <v>5268.33333333333</v>
      </c>
      <c r="T15" s="5" t="n">
        <f aca="false">T10*Hypotheses!C6</f>
        <v>5703.33333333333</v>
      </c>
      <c r="U15" s="5" t="n">
        <f aca="false">U10*Hypotheses!C6</f>
        <v>6138.33333333333</v>
      </c>
      <c r="V15" s="5" t="n">
        <f aca="false">V10*Hypotheses!C6</f>
        <v>6525</v>
      </c>
      <c r="W15" s="5" t="n">
        <f aca="false">W10*Hypotheses!C6</f>
        <v>6887.5</v>
      </c>
      <c r="X15" s="5" t="n">
        <f aca="false">X10*Hypotheses!C6</f>
        <v>7250</v>
      </c>
      <c r="Y15" s="5" t="n">
        <f aca="false">Y10*Hypotheses!C6</f>
        <v>7588.33333333333</v>
      </c>
      <c r="Z15" s="5" t="n">
        <f aca="false">Z10*Hypotheses!C6</f>
        <v>7902.5</v>
      </c>
      <c r="AA15" s="5" t="n">
        <f aca="false">AA10*Hypotheses!C6</f>
        <v>8627.5</v>
      </c>
      <c r="AB15" s="5" t="n">
        <f aca="false">AB10*Hypotheses!C6</f>
        <v>9328.33333333333</v>
      </c>
      <c r="AC15" s="5" t="n">
        <f aca="false">AC10*Hypotheses!C6</f>
        <v>9980.83333333333</v>
      </c>
      <c r="AD15" s="5" t="n">
        <f aca="false">AD10*Hypotheses!C6</f>
        <v>10609.1666666667</v>
      </c>
      <c r="AE15" s="5" t="n">
        <f aca="false">AE10*Hypotheses!C6</f>
        <v>11189.1666666667</v>
      </c>
      <c r="AF15" s="5" t="n">
        <f aca="false">AF10*Hypotheses!C6</f>
        <v>11769.1666666667</v>
      </c>
      <c r="AG15" s="5" t="n">
        <f aca="false">AG10*Hypotheses!C6</f>
        <v>12300.8333333333</v>
      </c>
      <c r="AH15" s="5" t="n">
        <f aca="false">AH10*Hypotheses!C6</f>
        <v>12808.3333333333</v>
      </c>
      <c r="AI15" s="5" t="n">
        <f aca="false">AI10*Hypotheses!C6</f>
        <v>13291.6666666667</v>
      </c>
      <c r="AJ15" s="5" t="n">
        <f aca="false">AJ10*Hypotheses!C6</f>
        <v>13726.6666666667</v>
      </c>
      <c r="AK15" s="5" t="n">
        <f aca="false">AK10*Hypotheses!C6</f>
        <v>14161.6666666667</v>
      </c>
      <c r="AL15" s="5" t="n">
        <f aca="false">AL10*Hypotheses!C6</f>
        <v>14572.5</v>
      </c>
    </row>
    <row r="16" customFormat="false" ht="15" hidden="false" customHeight="false" outlineLevel="0" collapsed="false">
      <c r="A16" s="10" t="s">
        <v>90</v>
      </c>
      <c r="B16" s="5" t="n">
        <f aca="false">B13*Hypotheses!C7</f>
        <v>0</v>
      </c>
      <c r="C16" s="5" t="n">
        <f aca="false">C13*Hypotheses!C7</f>
        <v>0</v>
      </c>
      <c r="D16" s="5" t="n">
        <f aca="false">D13*Hypotheses!C7</f>
        <v>0</v>
      </c>
      <c r="E16" s="5" t="n">
        <f aca="false">E13*Hypotheses!C7</f>
        <v>0</v>
      </c>
      <c r="F16" s="5" t="n">
        <f aca="false">F13*Hypotheses!C7</f>
        <v>190</v>
      </c>
      <c r="G16" s="5" t="n">
        <f aca="false">G13*Hypotheses!C7</f>
        <v>253.333333333333</v>
      </c>
      <c r="H16" s="5" t="n">
        <f aca="false">H13*Hypotheses!C7</f>
        <v>316.666666666667</v>
      </c>
      <c r="I16" s="5" t="n">
        <f aca="false">I13*Hypotheses!C7</f>
        <v>380</v>
      </c>
      <c r="J16" s="5" t="n">
        <f aca="false">J13*Hypotheses!C7</f>
        <v>443.333333333333</v>
      </c>
      <c r="K16" s="5" t="n">
        <f aca="false">K13*Hypotheses!C7</f>
        <v>506.666666666667</v>
      </c>
      <c r="L16" s="5" t="n">
        <f aca="false">L13*Hypotheses!C7</f>
        <v>570</v>
      </c>
      <c r="M16" s="5" t="n">
        <f aca="false">M13*Hypotheses!C7</f>
        <v>633.333333333333</v>
      </c>
      <c r="N16" s="5" t="n">
        <f aca="false">N13*Hypotheses!C7</f>
        <v>696.666666666667</v>
      </c>
      <c r="O16" s="5" t="n">
        <f aca="false">O13*Hypotheses!C7</f>
        <v>886.666666666667</v>
      </c>
      <c r="P16" s="5" t="n">
        <f aca="false">P13*Hypotheses!C7</f>
        <v>1013.33333333333</v>
      </c>
      <c r="Q16" s="5" t="n">
        <f aca="false">Q13*Hypotheses!C7</f>
        <v>1140</v>
      </c>
      <c r="R16" s="5" t="n">
        <f aca="false">R13*Hypotheses!C7</f>
        <v>1266.66666666667</v>
      </c>
      <c r="S16" s="5" t="n">
        <f aca="false">S13*Hypotheses!C7</f>
        <v>1393.33333333333</v>
      </c>
      <c r="T16" s="5" t="n">
        <f aca="false">T13*Hypotheses!C7</f>
        <v>1520</v>
      </c>
      <c r="U16" s="5" t="n">
        <f aca="false">U13*Hypotheses!C7</f>
        <v>1583.33333333333</v>
      </c>
      <c r="V16" s="5" t="n">
        <f aca="false">V13*Hypotheses!C7</f>
        <v>1710</v>
      </c>
      <c r="W16" s="5" t="n">
        <f aca="false">W13*Hypotheses!C7</f>
        <v>1836.66666666667</v>
      </c>
      <c r="X16" s="5" t="n">
        <f aca="false">X13*Hypotheses!C7</f>
        <v>1900</v>
      </c>
      <c r="Y16" s="5" t="n">
        <f aca="false">Y13*Hypotheses!C7</f>
        <v>1963.33333333333</v>
      </c>
      <c r="Z16" s="5" t="n">
        <f aca="false">Z13*Hypotheses!C7</f>
        <v>2090</v>
      </c>
      <c r="AA16" s="5" t="n">
        <f aca="false">AA13*Hypotheses!C7</f>
        <v>2280</v>
      </c>
      <c r="AB16" s="5" t="n">
        <f aca="false">AB13*Hypotheses!C7</f>
        <v>2470</v>
      </c>
      <c r="AC16" s="5" t="n">
        <f aca="false">AC13*Hypotheses!C7</f>
        <v>2596.66666666667</v>
      </c>
      <c r="AD16" s="5" t="n">
        <f aca="false">AD13*Hypotheses!C7</f>
        <v>2786.66666666667</v>
      </c>
      <c r="AE16" s="5" t="n">
        <f aca="false">AE13*Hypotheses!C7</f>
        <v>2913.33333333333</v>
      </c>
      <c r="AF16" s="5" t="n">
        <f aca="false">AF13*Hypotheses!C7</f>
        <v>3103.33333333333</v>
      </c>
      <c r="AG16" s="5" t="n">
        <f aca="false">AG13*Hypotheses!C7</f>
        <v>3230</v>
      </c>
      <c r="AH16" s="5" t="n">
        <f aca="false">AH13*Hypotheses!C7</f>
        <v>3356.66666666667</v>
      </c>
      <c r="AI16" s="5" t="n">
        <f aca="false">AI13*Hypotheses!C7</f>
        <v>3483.33333333333</v>
      </c>
      <c r="AJ16" s="5" t="n">
        <f aca="false">AJ13*Hypotheses!C7</f>
        <v>3610</v>
      </c>
      <c r="AK16" s="5" t="n">
        <f aca="false">AK13*Hypotheses!C7</f>
        <v>3736.66666666667</v>
      </c>
      <c r="AL16" s="5" t="n">
        <f aca="false">AL13*Hypotheses!C7</f>
        <v>3800</v>
      </c>
    </row>
    <row r="17" customFormat="false" ht="15" hidden="false" customHeight="false" outlineLevel="0" collapsed="false">
      <c r="A17" s="14" t="s">
        <v>91</v>
      </c>
      <c r="B17" s="15" t="n">
        <f aca="false">B15+B16</f>
        <v>0</v>
      </c>
      <c r="C17" s="15" t="n">
        <f aca="false">C15+C16</f>
        <v>169.166666666667</v>
      </c>
      <c r="D17" s="15" t="n">
        <f aca="false">D15+D16</f>
        <v>338.333333333333</v>
      </c>
      <c r="E17" s="15" t="n">
        <f aca="false">E15+E16</f>
        <v>507.5</v>
      </c>
      <c r="F17" s="15" t="n">
        <f aca="false">F15+F16</f>
        <v>939.166666666667</v>
      </c>
      <c r="G17" s="15" t="n">
        <f aca="false">G15+G16</f>
        <v>1220</v>
      </c>
      <c r="H17" s="15" t="n">
        <f aca="false">H15+H16</f>
        <v>1500.83333333333</v>
      </c>
      <c r="I17" s="15" t="n">
        <f aca="false">I15+I16</f>
        <v>1854.16666666667</v>
      </c>
      <c r="J17" s="15" t="n">
        <f aca="false">J15+J16</f>
        <v>2183.33333333333</v>
      </c>
      <c r="K17" s="15" t="n">
        <f aca="false">K15+K16</f>
        <v>2512.5</v>
      </c>
      <c r="L17" s="15" t="n">
        <f aca="false">L15+L16</f>
        <v>2841.66666666667</v>
      </c>
      <c r="M17" s="15" t="n">
        <f aca="false">M15+M16</f>
        <v>3122.5</v>
      </c>
      <c r="N17" s="15" t="n">
        <f aca="false">N15+N16</f>
        <v>3427.5</v>
      </c>
      <c r="O17" s="15" t="n">
        <f aca="false">O15+O16</f>
        <v>4173.33333333333</v>
      </c>
      <c r="P17" s="15" t="n">
        <f aca="false">P15+P16</f>
        <v>4831.66666666667</v>
      </c>
      <c r="Q17" s="15" t="n">
        <f aca="false">Q15+Q16</f>
        <v>5465.83333333333</v>
      </c>
      <c r="R17" s="15" t="n">
        <f aca="false">R15+R16</f>
        <v>6075.83333333333</v>
      </c>
      <c r="S17" s="15" t="n">
        <f aca="false">S15+S16</f>
        <v>6661.66666666667</v>
      </c>
      <c r="T17" s="15" t="n">
        <f aca="false">T15+T16</f>
        <v>7223.33333333333</v>
      </c>
      <c r="U17" s="15" t="n">
        <f aca="false">U15+U16</f>
        <v>7721.66666666667</v>
      </c>
      <c r="V17" s="15" t="n">
        <f aca="false">V15+V16</f>
        <v>8235</v>
      </c>
      <c r="W17" s="15" t="n">
        <f aca="false">W15+W16</f>
        <v>8724.16666666667</v>
      </c>
      <c r="X17" s="15" t="n">
        <f aca="false">X15+X16</f>
        <v>9150</v>
      </c>
      <c r="Y17" s="15" t="n">
        <f aca="false">Y15+Y16</f>
        <v>9551.66666666667</v>
      </c>
      <c r="Z17" s="15" t="n">
        <f aca="false">Z15+Z16</f>
        <v>9992.5</v>
      </c>
      <c r="AA17" s="15" t="n">
        <f aca="false">AA15+AA16</f>
        <v>10907.5</v>
      </c>
      <c r="AB17" s="15" t="n">
        <f aca="false">AB15+AB16</f>
        <v>11798.3333333333</v>
      </c>
      <c r="AC17" s="15" t="n">
        <f aca="false">AC15+AC16</f>
        <v>12577.5</v>
      </c>
      <c r="AD17" s="15" t="n">
        <f aca="false">AD15+AD16</f>
        <v>13395.8333333333</v>
      </c>
      <c r="AE17" s="15" t="n">
        <f aca="false">AE15+AE16</f>
        <v>14102.5</v>
      </c>
      <c r="AF17" s="15" t="n">
        <f aca="false">AF15+AF16</f>
        <v>14872.5</v>
      </c>
      <c r="AG17" s="15" t="n">
        <f aca="false">AG15+AG16</f>
        <v>15530.8333333333</v>
      </c>
      <c r="AH17" s="15" t="n">
        <f aca="false">AH15+AH16</f>
        <v>16165</v>
      </c>
      <c r="AI17" s="15" t="n">
        <f aca="false">AI15+AI16</f>
        <v>16775</v>
      </c>
      <c r="AJ17" s="15" t="n">
        <f aca="false">AJ15+AJ16</f>
        <v>17336.6666666667</v>
      </c>
      <c r="AK17" s="15" t="n">
        <f aca="false">AK15+AK16</f>
        <v>17898.3333333333</v>
      </c>
      <c r="AL17" s="15" t="n">
        <f aca="false">AL15+AL16</f>
        <v>18372.5</v>
      </c>
    </row>
    <row r="18" customFormat="false" ht="15" hidden="false" customHeight="false" outlineLevel="0" collapsed="false">
      <c r="A18" s="10" t="s">
        <v>92</v>
      </c>
      <c r="B18" s="5" t="n">
        <f aca="false">B17*12</f>
        <v>0</v>
      </c>
      <c r="C18" s="5" t="n">
        <f aca="false">C17*12</f>
        <v>2030</v>
      </c>
      <c r="D18" s="5" t="n">
        <f aca="false">D17*12</f>
        <v>4060</v>
      </c>
      <c r="E18" s="5" t="n">
        <f aca="false">E17*12</f>
        <v>6090</v>
      </c>
      <c r="F18" s="5" t="n">
        <f aca="false">F17*12</f>
        <v>11270</v>
      </c>
      <c r="G18" s="5" t="n">
        <f aca="false">G17*12</f>
        <v>14640</v>
      </c>
      <c r="H18" s="5" t="n">
        <f aca="false">H17*12</f>
        <v>18010</v>
      </c>
      <c r="I18" s="5" t="n">
        <f aca="false">I17*12</f>
        <v>22250</v>
      </c>
      <c r="J18" s="5" t="n">
        <f aca="false">J17*12</f>
        <v>26200</v>
      </c>
      <c r="K18" s="5" t="n">
        <f aca="false">K17*12</f>
        <v>30150</v>
      </c>
      <c r="L18" s="5" t="n">
        <f aca="false">L17*12</f>
        <v>34100</v>
      </c>
      <c r="M18" s="5" t="n">
        <f aca="false">M17*12</f>
        <v>37470</v>
      </c>
      <c r="N18" s="5" t="n">
        <f aca="false">N17*12</f>
        <v>41130</v>
      </c>
      <c r="O18" s="5" t="n">
        <f aca="false">O17*12</f>
        <v>50080</v>
      </c>
      <c r="P18" s="5" t="n">
        <f aca="false">P17*12</f>
        <v>57980</v>
      </c>
      <c r="Q18" s="5" t="n">
        <f aca="false">Q17*12</f>
        <v>65590</v>
      </c>
      <c r="R18" s="5" t="n">
        <f aca="false">R17*12</f>
        <v>72910</v>
      </c>
      <c r="S18" s="5" t="n">
        <f aca="false">S17*12</f>
        <v>79940</v>
      </c>
      <c r="T18" s="5" t="n">
        <f aca="false">T17*12</f>
        <v>86680</v>
      </c>
      <c r="U18" s="5" t="n">
        <f aca="false">U17*12</f>
        <v>92660</v>
      </c>
      <c r="V18" s="5" t="n">
        <f aca="false">V17*12</f>
        <v>98820</v>
      </c>
      <c r="W18" s="5" t="n">
        <f aca="false">W17*12</f>
        <v>104690</v>
      </c>
      <c r="X18" s="5" t="n">
        <f aca="false">X17*12</f>
        <v>109800</v>
      </c>
      <c r="Y18" s="5" t="n">
        <f aca="false">Y17*12</f>
        <v>114620</v>
      </c>
      <c r="Z18" s="5" t="n">
        <f aca="false">Z17*12</f>
        <v>119910</v>
      </c>
      <c r="AA18" s="5" t="n">
        <f aca="false">AA17*12</f>
        <v>130890</v>
      </c>
      <c r="AB18" s="5" t="n">
        <f aca="false">AB17*12</f>
        <v>141580</v>
      </c>
      <c r="AC18" s="5" t="n">
        <f aca="false">AC17*12</f>
        <v>150930</v>
      </c>
      <c r="AD18" s="5" t="n">
        <f aca="false">AD17*12</f>
        <v>160750</v>
      </c>
      <c r="AE18" s="5" t="n">
        <f aca="false">AE17*12</f>
        <v>169230</v>
      </c>
      <c r="AF18" s="5" t="n">
        <f aca="false">AF17*12</f>
        <v>178470</v>
      </c>
      <c r="AG18" s="5" t="n">
        <f aca="false">AG17*12</f>
        <v>186370</v>
      </c>
      <c r="AH18" s="5" t="n">
        <f aca="false">AH17*12</f>
        <v>193980</v>
      </c>
      <c r="AI18" s="5" t="n">
        <f aca="false">AI17*12</f>
        <v>201300</v>
      </c>
      <c r="AJ18" s="5" t="n">
        <f aca="false">AJ17*12</f>
        <v>208040</v>
      </c>
      <c r="AK18" s="5" t="n">
        <f aca="false">AK17*12</f>
        <v>214780</v>
      </c>
      <c r="AL18" s="5" t="n">
        <f aca="false">AL17*12</f>
        <v>220470</v>
      </c>
    </row>
    <row r="20" customFormat="false" ht="15" hidden="false" customHeight="false" outlineLevel="0" collapsed="false">
      <c r="A20" s="10" t="s">
        <v>93</v>
      </c>
      <c r="B20" s="16" t="n">
        <f aca="false">-B10*Hypotheses!C22</f>
        <v>-0</v>
      </c>
      <c r="C20" s="16" t="n">
        <f aca="false">-C10*Hypotheses!C22</f>
        <v>-2.8</v>
      </c>
      <c r="D20" s="16" t="n">
        <f aca="false">-D10*Hypotheses!C22</f>
        <v>-5.6</v>
      </c>
      <c r="E20" s="16" t="n">
        <f aca="false">-E10*Hypotheses!C22</f>
        <v>-8.4</v>
      </c>
      <c r="F20" s="16" t="n">
        <f aca="false">-F10*Hypotheses!C22</f>
        <v>-12.4</v>
      </c>
      <c r="G20" s="16" t="n">
        <f aca="false">-G10*Hypotheses!C22</f>
        <v>-16</v>
      </c>
      <c r="H20" s="16" t="n">
        <f aca="false">-H10*Hypotheses!C22</f>
        <v>-19.6</v>
      </c>
      <c r="I20" s="16" t="n">
        <f aca="false">-I10*Hypotheses!C22</f>
        <v>-24.4</v>
      </c>
      <c r="J20" s="16" t="n">
        <f aca="false">-J10*Hypotheses!C22</f>
        <v>-28.8</v>
      </c>
      <c r="K20" s="16" t="n">
        <f aca="false">-K10*Hypotheses!C22</f>
        <v>-33.2</v>
      </c>
      <c r="L20" s="16" t="n">
        <f aca="false">-L10*Hypotheses!C22</f>
        <v>-37.6</v>
      </c>
      <c r="M20" s="16" t="n">
        <f aca="false">-M10*Hypotheses!C22</f>
        <v>-41.2</v>
      </c>
      <c r="N20" s="16" t="n">
        <f aca="false">-N10*Hypotheses!C22</f>
        <v>-45.2</v>
      </c>
      <c r="O20" s="16" t="n">
        <f aca="false">-O10*Hypotheses!C22</f>
        <v>-54.4</v>
      </c>
      <c r="P20" s="16" t="n">
        <f aca="false">-P10*Hypotheses!C22</f>
        <v>-63.2</v>
      </c>
      <c r="Q20" s="16" t="n">
        <f aca="false">-Q10*Hypotheses!C22</f>
        <v>-71.6</v>
      </c>
      <c r="R20" s="16" t="n">
        <f aca="false">-R10*Hypotheses!C22</f>
        <v>-79.6</v>
      </c>
      <c r="S20" s="16" t="n">
        <f aca="false">-S10*Hypotheses!C22</f>
        <v>-87.2</v>
      </c>
      <c r="T20" s="16" t="n">
        <f aca="false">-T10*Hypotheses!C22</f>
        <v>-94.4</v>
      </c>
      <c r="U20" s="16" t="n">
        <f aca="false">-U10*Hypotheses!C22</f>
        <v>-101.6</v>
      </c>
      <c r="V20" s="16" t="n">
        <f aca="false">-V10*Hypotheses!C22</f>
        <v>-108</v>
      </c>
      <c r="W20" s="16" t="n">
        <f aca="false">-W10*Hypotheses!C22</f>
        <v>-114</v>
      </c>
      <c r="X20" s="16" t="n">
        <f aca="false">-X10*Hypotheses!C22</f>
        <v>-120</v>
      </c>
      <c r="Y20" s="16" t="n">
        <f aca="false">-Y10*Hypotheses!C22</f>
        <v>-125.6</v>
      </c>
      <c r="Z20" s="16" t="n">
        <f aca="false">-Z10*Hypotheses!C22</f>
        <v>-130.8</v>
      </c>
      <c r="AA20" s="16" t="n">
        <f aca="false">-AA10*Hypotheses!C22</f>
        <v>-142.8</v>
      </c>
      <c r="AB20" s="16" t="n">
        <f aca="false">-AB10*Hypotheses!C22</f>
        <v>-154.4</v>
      </c>
      <c r="AC20" s="16" t="n">
        <f aca="false">-AC10*Hypotheses!C22</f>
        <v>-165.2</v>
      </c>
      <c r="AD20" s="16" t="n">
        <f aca="false">-AD10*Hypotheses!C22</f>
        <v>-175.6</v>
      </c>
      <c r="AE20" s="16" t="n">
        <f aca="false">-AE10*Hypotheses!C22</f>
        <v>-185.2</v>
      </c>
      <c r="AF20" s="16" t="n">
        <f aca="false">-AF10*Hypotheses!C22</f>
        <v>-194.8</v>
      </c>
      <c r="AG20" s="16" t="n">
        <f aca="false">-AG10*Hypotheses!C22</f>
        <v>-203.6</v>
      </c>
      <c r="AH20" s="16" t="n">
        <f aca="false">-AH10*Hypotheses!C22</f>
        <v>-212</v>
      </c>
      <c r="AI20" s="16" t="n">
        <f aca="false">-AI10*Hypotheses!C22</f>
        <v>-220</v>
      </c>
      <c r="AJ20" s="16" t="n">
        <f aca="false">-AJ10*Hypotheses!C22</f>
        <v>-227.2</v>
      </c>
      <c r="AK20" s="16" t="n">
        <f aca="false">-AK10*Hypotheses!C22</f>
        <v>-234.4</v>
      </c>
      <c r="AL20" s="16" t="n">
        <f aca="false">-AL10*Hypotheses!C22</f>
        <v>-241.2</v>
      </c>
    </row>
    <row r="21" customFormat="false" ht="15" hidden="false" customHeight="false" outlineLevel="0" collapsed="false">
      <c r="A21" s="10" t="s">
        <v>94</v>
      </c>
      <c r="B21" s="16" t="n">
        <f aca="false">-B6*Hypotheses!C24*Hypotheses!C23</f>
        <v>-0</v>
      </c>
      <c r="C21" s="16" t="n">
        <f aca="false">-C6*Hypotheses!C24*Hypotheses!C23</f>
        <v>-36.25</v>
      </c>
      <c r="D21" s="16" t="n">
        <f aca="false">-D6*Hypotheses!C24*Hypotheses!C23</f>
        <v>-72.5</v>
      </c>
      <c r="E21" s="16" t="n">
        <f aca="false">-E6*Hypotheses!C24*Hypotheses!C23</f>
        <v>-108.75</v>
      </c>
      <c r="F21" s="16" t="n">
        <f aca="false">-F6*Hypotheses!C24*Hypotheses!C23</f>
        <v>-163.125</v>
      </c>
      <c r="G21" s="16" t="n">
        <f aca="false">-G6*Hypotheses!C24*Hypotheses!C23</f>
        <v>-217.5</v>
      </c>
      <c r="H21" s="16" t="n">
        <f aca="false">-H6*Hypotheses!C24*Hypotheses!C23</f>
        <v>-271.875</v>
      </c>
      <c r="I21" s="16" t="n">
        <f aca="false">-I6*Hypotheses!C24*Hypotheses!C23</f>
        <v>-344.375</v>
      </c>
      <c r="J21" s="16" t="n">
        <f aca="false">-J6*Hypotheses!C24*Hypotheses!C23</f>
        <v>-416.875</v>
      </c>
      <c r="K21" s="16" t="n">
        <f aca="false">-K6*Hypotheses!C24*Hypotheses!C23</f>
        <v>-489.375</v>
      </c>
      <c r="L21" s="16" t="n">
        <f aca="false">-L6*Hypotheses!C24*Hypotheses!C23</f>
        <v>-561.875</v>
      </c>
      <c r="M21" s="16" t="n">
        <f aca="false">-M6*Hypotheses!C24*Hypotheses!C23</f>
        <v>-634.375</v>
      </c>
      <c r="N21" s="16" t="n">
        <f aca="false">-N6*Hypotheses!C24*Hypotheses!C23</f>
        <v>-706.875</v>
      </c>
      <c r="O21" s="16" t="n">
        <f aca="false">-O6*Hypotheses!C24*Hypotheses!C23</f>
        <v>-851.875</v>
      </c>
      <c r="P21" s="16" t="n">
        <f aca="false">-P6*Hypotheses!C24*Hypotheses!C23</f>
        <v>-996.875</v>
      </c>
      <c r="Q21" s="16" t="n">
        <f aca="false">-Q6*Hypotheses!C24*Hypotheses!C23</f>
        <v>-1141.875</v>
      </c>
      <c r="R21" s="16" t="n">
        <f aca="false">-R6*Hypotheses!C24*Hypotheses!C23</f>
        <v>-1286.875</v>
      </c>
      <c r="S21" s="16" t="n">
        <f aca="false">-S6*Hypotheses!C24*Hypotheses!C23</f>
        <v>-1431.875</v>
      </c>
      <c r="T21" s="16" t="n">
        <f aca="false">-T6*Hypotheses!C24*Hypotheses!C23</f>
        <v>-1576.875</v>
      </c>
      <c r="U21" s="16" t="n">
        <f aca="false">-U6*Hypotheses!C24*Hypotheses!C23</f>
        <v>-1721.875</v>
      </c>
      <c r="V21" s="16" t="n">
        <f aca="false">-V6*Hypotheses!C24*Hypotheses!C23</f>
        <v>-1866.875</v>
      </c>
      <c r="W21" s="16" t="n">
        <f aca="false">-W6*Hypotheses!C24*Hypotheses!C23</f>
        <v>-2011.875</v>
      </c>
      <c r="X21" s="16" t="n">
        <f aca="false">-X6*Hypotheses!C24*Hypotheses!C23</f>
        <v>-2156.875</v>
      </c>
      <c r="Y21" s="16" t="n">
        <f aca="false">-Y6*Hypotheses!C24*Hypotheses!C23</f>
        <v>-2301.875</v>
      </c>
      <c r="Z21" s="16" t="n">
        <f aca="false">-Z6*Hypotheses!C24*Hypotheses!C23</f>
        <v>-2446.875</v>
      </c>
      <c r="AA21" s="16" t="n">
        <f aca="false">-AA6*Hypotheses!C24*Hypotheses!C23</f>
        <v>-2678.875</v>
      </c>
      <c r="AB21" s="16" t="n">
        <f aca="false">-AB6*Hypotheses!C24*Hypotheses!C23</f>
        <v>-2910.875</v>
      </c>
      <c r="AC21" s="16" t="n">
        <f aca="false">-AC6*Hypotheses!C24*Hypotheses!C23</f>
        <v>-3142.875</v>
      </c>
      <c r="AD21" s="16" t="n">
        <f aca="false">-AD6*Hypotheses!C24*Hypotheses!C23</f>
        <v>-3374.875</v>
      </c>
      <c r="AE21" s="16" t="n">
        <f aca="false">-AE6*Hypotheses!C24*Hypotheses!C23</f>
        <v>-3606.875</v>
      </c>
      <c r="AF21" s="16" t="n">
        <f aca="false">-AF6*Hypotheses!C24*Hypotheses!C23</f>
        <v>-3838.875</v>
      </c>
      <c r="AG21" s="16" t="n">
        <f aca="false">-AG6*Hypotheses!C24*Hypotheses!C23</f>
        <v>-4070.875</v>
      </c>
      <c r="AH21" s="16" t="n">
        <f aca="false">-AH6*Hypotheses!C24*Hypotheses!C23</f>
        <v>-4302.875</v>
      </c>
      <c r="AI21" s="16" t="n">
        <f aca="false">-AI6*Hypotheses!C24*Hypotheses!C23</f>
        <v>-4534.875</v>
      </c>
      <c r="AJ21" s="16" t="n">
        <f aca="false">-AJ6*Hypotheses!C24*Hypotheses!C23</f>
        <v>-4766.875</v>
      </c>
      <c r="AK21" s="16" t="n">
        <f aca="false">-AK6*Hypotheses!C24*Hypotheses!C23</f>
        <v>-4998.875</v>
      </c>
      <c r="AL21" s="16" t="n">
        <f aca="false">-AL6*Hypotheses!C24*Hypotheses!C23</f>
        <v>-5230.875</v>
      </c>
    </row>
    <row r="22" customFormat="false" ht="15" hidden="false" customHeight="false" outlineLevel="0" collapsed="false">
      <c r="A22" s="10" t="s">
        <v>95</v>
      </c>
      <c r="B22" s="16" t="n">
        <f aca="false">-B17*Hypotheses!C25</f>
        <v>-0</v>
      </c>
      <c r="C22" s="16" t="n">
        <f aca="false">-C17*Hypotheses!C25</f>
        <v>-3.72166666666667</v>
      </c>
      <c r="D22" s="16" t="n">
        <f aca="false">-D17*Hypotheses!C25</f>
        <v>-7.44333333333333</v>
      </c>
      <c r="E22" s="16" t="n">
        <f aca="false">-E17*Hypotheses!C25</f>
        <v>-11.165</v>
      </c>
      <c r="F22" s="16" t="n">
        <f aca="false">-F17*Hypotheses!C25</f>
        <v>-20.6616666666667</v>
      </c>
      <c r="G22" s="16" t="n">
        <f aca="false">-G17*Hypotheses!C25</f>
        <v>-26.84</v>
      </c>
      <c r="H22" s="16" t="n">
        <f aca="false">-H17*Hypotheses!C25</f>
        <v>-33.0183333333333</v>
      </c>
      <c r="I22" s="16" t="n">
        <f aca="false">-I17*Hypotheses!C25</f>
        <v>-40.7916666666667</v>
      </c>
      <c r="J22" s="16" t="n">
        <f aca="false">-J17*Hypotheses!C25</f>
        <v>-48.0333333333333</v>
      </c>
      <c r="K22" s="16" t="n">
        <f aca="false">-K17*Hypotheses!C25</f>
        <v>-55.275</v>
      </c>
      <c r="L22" s="16" t="n">
        <f aca="false">-L17*Hypotheses!C25</f>
        <v>-62.5166666666667</v>
      </c>
      <c r="M22" s="16" t="n">
        <f aca="false">-M17*Hypotheses!C25</f>
        <v>-68.695</v>
      </c>
      <c r="N22" s="16" t="n">
        <f aca="false">-N17*Hypotheses!C25</f>
        <v>-75.405</v>
      </c>
      <c r="O22" s="16" t="n">
        <f aca="false">-O17*Hypotheses!C25</f>
        <v>-91.8133333333334</v>
      </c>
      <c r="P22" s="16" t="n">
        <f aca="false">-P17*Hypotheses!C25</f>
        <v>-106.296666666667</v>
      </c>
      <c r="Q22" s="16" t="n">
        <f aca="false">-Q17*Hypotheses!C25</f>
        <v>-120.248333333333</v>
      </c>
      <c r="R22" s="16" t="n">
        <f aca="false">-R17*Hypotheses!C25</f>
        <v>-133.668333333333</v>
      </c>
      <c r="S22" s="16" t="n">
        <f aca="false">-S17*Hypotheses!C25</f>
        <v>-146.556666666667</v>
      </c>
      <c r="T22" s="16" t="n">
        <f aca="false">-T17*Hypotheses!C25</f>
        <v>-158.913333333333</v>
      </c>
      <c r="U22" s="16" t="n">
        <f aca="false">-U17*Hypotheses!C25</f>
        <v>-169.876666666667</v>
      </c>
      <c r="V22" s="16" t="n">
        <f aca="false">-V17*Hypotheses!C25</f>
        <v>-181.17</v>
      </c>
      <c r="W22" s="16" t="n">
        <f aca="false">-W17*Hypotheses!C25</f>
        <v>-191.931666666667</v>
      </c>
      <c r="X22" s="16" t="n">
        <f aca="false">-X17*Hypotheses!C25</f>
        <v>-201.3</v>
      </c>
      <c r="Y22" s="16" t="n">
        <f aca="false">-Y17*Hypotheses!C25</f>
        <v>-210.136666666667</v>
      </c>
      <c r="Z22" s="16" t="n">
        <f aca="false">-Z17*Hypotheses!C25</f>
        <v>-219.835</v>
      </c>
      <c r="AA22" s="16" t="n">
        <f aca="false">-AA17*Hypotheses!C25</f>
        <v>-239.965</v>
      </c>
      <c r="AB22" s="16" t="n">
        <f aca="false">-AB17*Hypotheses!C25</f>
        <v>-259.563333333333</v>
      </c>
      <c r="AC22" s="16" t="n">
        <f aca="false">-AC17*Hypotheses!C25</f>
        <v>-276.705</v>
      </c>
      <c r="AD22" s="16" t="n">
        <f aca="false">-AD17*Hypotheses!C25</f>
        <v>-294.708333333333</v>
      </c>
      <c r="AE22" s="16" t="n">
        <f aca="false">-AE17*Hypotheses!C25</f>
        <v>-310.255</v>
      </c>
      <c r="AF22" s="16" t="n">
        <f aca="false">-AF17*Hypotheses!C25</f>
        <v>-327.195</v>
      </c>
      <c r="AG22" s="16" t="n">
        <f aca="false">-AG17*Hypotheses!C25</f>
        <v>-341.678333333333</v>
      </c>
      <c r="AH22" s="16" t="n">
        <f aca="false">-AH17*Hypotheses!C25</f>
        <v>-355.63</v>
      </c>
      <c r="AI22" s="16" t="n">
        <f aca="false">-AI17*Hypotheses!C25</f>
        <v>-369.05</v>
      </c>
      <c r="AJ22" s="16" t="n">
        <f aca="false">-AJ17*Hypotheses!C25</f>
        <v>-381.406666666667</v>
      </c>
      <c r="AK22" s="16" t="n">
        <f aca="false">-AK17*Hypotheses!C25</f>
        <v>-393.763333333333</v>
      </c>
      <c r="AL22" s="16" t="n">
        <f aca="false">-AL17*Hypotheses!C25</f>
        <v>-404.195</v>
      </c>
    </row>
    <row r="23" customFormat="false" ht="15" hidden="false" customHeight="false" outlineLevel="0" collapsed="false">
      <c r="A23" s="14" t="s">
        <v>96</v>
      </c>
      <c r="B23" s="17" t="n">
        <f aca="false">B17+B20+B21+B22</f>
        <v>0</v>
      </c>
      <c r="C23" s="17" t="n">
        <f aca="false">C17+C20+C21+C22</f>
        <v>126.395</v>
      </c>
      <c r="D23" s="17" t="n">
        <f aca="false">D17+D20+D21+D22</f>
        <v>252.79</v>
      </c>
      <c r="E23" s="17" t="n">
        <f aca="false">E17+E20+E21+E22</f>
        <v>379.185</v>
      </c>
      <c r="F23" s="17" t="n">
        <f aca="false">F17+F20+F21+F22</f>
        <v>742.98</v>
      </c>
      <c r="G23" s="17" t="n">
        <f aca="false">G17+G20+G21+G22</f>
        <v>959.66</v>
      </c>
      <c r="H23" s="17" t="n">
        <f aca="false">H17+H20+H21+H22</f>
        <v>1176.34</v>
      </c>
      <c r="I23" s="17" t="n">
        <f aca="false">I17+I20+I21+I22</f>
        <v>1444.6</v>
      </c>
      <c r="J23" s="17" t="n">
        <f aca="false">J17+J20+J21+J22</f>
        <v>1689.625</v>
      </c>
      <c r="K23" s="17" t="n">
        <f aca="false">K17+K20+K21+K22</f>
        <v>1934.65</v>
      </c>
      <c r="L23" s="17" t="n">
        <f aca="false">L17+L20+L21+L22</f>
        <v>2179.675</v>
      </c>
      <c r="M23" s="17" t="n">
        <f aca="false">M17+M20+M21+M22</f>
        <v>2378.23</v>
      </c>
      <c r="N23" s="17" t="n">
        <f aca="false">N17+N20+N21+N22</f>
        <v>2600.02</v>
      </c>
      <c r="O23" s="17" t="n">
        <f aca="false">O17+O20+O21+O22</f>
        <v>3175.245</v>
      </c>
      <c r="P23" s="17" t="n">
        <f aca="false">P17+P20+P21+P22</f>
        <v>3665.295</v>
      </c>
      <c r="Q23" s="17" t="n">
        <f aca="false">Q17+Q20+Q21+Q22</f>
        <v>4132.11</v>
      </c>
      <c r="R23" s="17" t="n">
        <f aca="false">R17+R20+R21+R22</f>
        <v>4575.69</v>
      </c>
      <c r="S23" s="17" t="n">
        <f aca="false">S17+S20+S21+S22</f>
        <v>4996.035</v>
      </c>
      <c r="T23" s="17" t="n">
        <f aca="false">T17+T20+T21+T22</f>
        <v>5393.145</v>
      </c>
      <c r="U23" s="17" t="n">
        <f aca="false">U17+U20+U21+U22</f>
        <v>5728.315</v>
      </c>
      <c r="V23" s="17" t="n">
        <f aca="false">V17+V20+V21+V22</f>
        <v>6078.955</v>
      </c>
      <c r="W23" s="17" t="n">
        <f aca="false">W17+W20+W21+W22</f>
        <v>6406.36</v>
      </c>
      <c r="X23" s="17" t="n">
        <f aca="false">X17+X20+X21+X22</f>
        <v>6671.825</v>
      </c>
      <c r="Y23" s="17" t="n">
        <f aca="false">Y17+Y20+Y21+Y22</f>
        <v>6914.055</v>
      </c>
      <c r="Z23" s="17" t="n">
        <f aca="false">Z17+Z20+Z21+Z22</f>
        <v>7194.99</v>
      </c>
      <c r="AA23" s="17" t="n">
        <f aca="false">AA17+AA20+AA21+AA22</f>
        <v>7845.86</v>
      </c>
      <c r="AB23" s="17" t="n">
        <f aca="false">AB17+AB20+AB21+AB22</f>
        <v>8473.495</v>
      </c>
      <c r="AC23" s="17" t="n">
        <f aca="false">AC17+AC20+AC21+AC22</f>
        <v>8992.72</v>
      </c>
      <c r="AD23" s="17" t="n">
        <f aca="false">AD17+AD20+AD21+AD22</f>
        <v>9550.65</v>
      </c>
      <c r="AE23" s="17" t="n">
        <f aca="false">AE17+AE20+AE21+AE22</f>
        <v>10000.17</v>
      </c>
      <c r="AF23" s="17" t="n">
        <f aca="false">AF17+AF20+AF21+AF22</f>
        <v>10511.63</v>
      </c>
      <c r="AG23" s="17" t="n">
        <f aca="false">AG17+AG20+AG21+AG22</f>
        <v>10914.68</v>
      </c>
      <c r="AH23" s="17" t="n">
        <f aca="false">AH17+AH20+AH21+AH22</f>
        <v>11294.495</v>
      </c>
      <c r="AI23" s="17" t="n">
        <f aca="false">AI17+AI20+AI21+AI22</f>
        <v>11651.075</v>
      </c>
      <c r="AJ23" s="17" t="n">
        <f aca="false">AJ17+AJ20+AJ21+AJ22</f>
        <v>11961.185</v>
      </c>
      <c r="AK23" s="17" t="n">
        <f aca="false">AK17+AK20+AK21+AK22</f>
        <v>12271.295</v>
      </c>
      <c r="AL23" s="17" t="n">
        <f aca="false">AL17+AL20+AL21+AL22</f>
        <v>12496.23</v>
      </c>
    </row>
    <row r="25" customFormat="false" ht="15" hidden="false" customHeight="false" outlineLevel="0" collapsed="false">
      <c r="A25" s="10" t="s">
        <v>97</v>
      </c>
      <c r="B25" s="16" t="n">
        <f aca="false">-(Hypotheses!C28+Hypotheses!C31)</f>
        <v>-185</v>
      </c>
      <c r="C25" s="16" t="n">
        <f aca="false">-(Hypotheses!C28+Hypotheses!C31)</f>
        <v>-185</v>
      </c>
      <c r="D25" s="16" t="n">
        <f aca="false">-(Hypotheses!C28+Hypotheses!C31)</f>
        <v>-185</v>
      </c>
      <c r="E25" s="16" t="n">
        <f aca="false">-(Hypotheses!C28+Hypotheses!C31)</f>
        <v>-185</v>
      </c>
      <c r="F25" s="16" t="n">
        <f aca="false">-(Hypotheses!C28+Hypotheses!C31)</f>
        <v>-185</v>
      </c>
      <c r="G25" s="16" t="n">
        <f aca="false">-(Hypotheses!C28+Hypotheses!C31)</f>
        <v>-185</v>
      </c>
      <c r="H25" s="16" t="n">
        <f aca="false">-(Hypotheses!C28+Hypotheses!C31)</f>
        <v>-185</v>
      </c>
      <c r="I25" s="16" t="n">
        <f aca="false">-(Hypotheses!C29+Hypotheses!C31)</f>
        <v>-380</v>
      </c>
      <c r="J25" s="16" t="n">
        <f aca="false">-(Hypotheses!C29+Hypotheses!C31)</f>
        <v>-380</v>
      </c>
      <c r="K25" s="16" t="n">
        <f aca="false">-(Hypotheses!C29+Hypotheses!C31)</f>
        <v>-380</v>
      </c>
      <c r="L25" s="16" t="n">
        <f aca="false">-(Hypotheses!C29+Hypotheses!C31)</f>
        <v>-380</v>
      </c>
      <c r="M25" s="16" t="n">
        <f aca="false">-(Hypotheses!C29+Hypotheses!C31)</f>
        <v>-380</v>
      </c>
      <c r="N25" s="16" t="n">
        <f aca="false">-(Hypotheses!C29+Hypotheses!C31)</f>
        <v>-380</v>
      </c>
      <c r="O25" s="16" t="n">
        <f aca="false">-(Hypotheses!C29+Hypotheses!C31)</f>
        <v>-380</v>
      </c>
      <c r="P25" s="16" t="n">
        <f aca="false">-(Hypotheses!C29+Hypotheses!C31)</f>
        <v>-380</v>
      </c>
      <c r="Q25" s="16" t="n">
        <f aca="false">-(Hypotheses!C29+Hypotheses!C31)</f>
        <v>-380</v>
      </c>
      <c r="R25" s="16" t="n">
        <f aca="false">-(Hypotheses!C29+Hypotheses!C31)</f>
        <v>-380</v>
      </c>
      <c r="S25" s="16" t="n">
        <f aca="false">-(Hypotheses!C29+Hypotheses!C31)</f>
        <v>-380</v>
      </c>
      <c r="T25" s="16" t="n">
        <f aca="false">-(Hypotheses!C29+Hypotheses!C31)</f>
        <v>-380</v>
      </c>
      <c r="U25" s="16" t="n">
        <f aca="false">-(Hypotheses!C30+Hypotheses!C31)</f>
        <v>-1000</v>
      </c>
      <c r="V25" s="16" t="n">
        <f aca="false">-(Hypotheses!C30+Hypotheses!C31)</f>
        <v>-1000</v>
      </c>
      <c r="W25" s="16" t="n">
        <f aca="false">-(Hypotheses!C30+Hypotheses!C31)</f>
        <v>-1000</v>
      </c>
      <c r="X25" s="16" t="n">
        <f aca="false">-(Hypotheses!C30+Hypotheses!C31)</f>
        <v>-1000</v>
      </c>
      <c r="Y25" s="16" t="n">
        <f aca="false">-(Hypotheses!C30+Hypotheses!C31)</f>
        <v>-1000</v>
      </c>
      <c r="Z25" s="16" t="n">
        <f aca="false">-(Hypotheses!C30+Hypotheses!C31)</f>
        <v>-1000</v>
      </c>
      <c r="AA25" s="16" t="n">
        <f aca="false">-(Hypotheses!C30+Hypotheses!C31)</f>
        <v>-1000</v>
      </c>
      <c r="AB25" s="16" t="n">
        <f aca="false">-(Hypotheses!C30+Hypotheses!C31)</f>
        <v>-1000</v>
      </c>
      <c r="AC25" s="16" t="n">
        <f aca="false">-(Hypotheses!C30+Hypotheses!C31)</f>
        <v>-1000</v>
      </c>
      <c r="AD25" s="16" t="n">
        <f aca="false">-(Hypotheses!C30+Hypotheses!C31)</f>
        <v>-1000</v>
      </c>
      <c r="AE25" s="16" t="n">
        <f aca="false">-(Hypotheses!C30+Hypotheses!C31)</f>
        <v>-1000</v>
      </c>
      <c r="AF25" s="16" t="n">
        <f aca="false">-(Hypotheses!C30+Hypotheses!C31)</f>
        <v>-1000</v>
      </c>
      <c r="AG25" s="16" t="n">
        <f aca="false">-(Hypotheses!C30+Hypotheses!C31)</f>
        <v>-1000</v>
      </c>
      <c r="AH25" s="16" t="n">
        <f aca="false">-(Hypotheses!C30+Hypotheses!C31)</f>
        <v>-1000</v>
      </c>
      <c r="AI25" s="16" t="n">
        <f aca="false">-(Hypotheses!C30+Hypotheses!C31)</f>
        <v>-1000</v>
      </c>
      <c r="AJ25" s="16" t="n">
        <f aca="false">-(Hypotheses!C30+Hypotheses!C31)</f>
        <v>-1000</v>
      </c>
      <c r="AK25" s="16" t="n">
        <f aca="false">-(Hypotheses!C30+Hypotheses!C31)</f>
        <v>-1000</v>
      </c>
      <c r="AL25" s="16" t="n">
        <f aca="false">-(Hypotheses!C30+Hypotheses!C31)</f>
        <v>-1000</v>
      </c>
    </row>
    <row r="26" customFormat="false" ht="15" hidden="false" customHeight="false" outlineLevel="0" collapsed="false">
      <c r="A26" s="10" t="s">
        <v>98</v>
      </c>
      <c r="B26" s="16" t="n">
        <f aca="false">-B7*Hypotheses!C15</f>
        <v>-0</v>
      </c>
      <c r="C26" s="16" t="n">
        <f aca="false">-C7*Hypotheses!C15</f>
        <v>-2900</v>
      </c>
      <c r="D26" s="16" t="n">
        <f aca="false">-D7*Hypotheses!C15</f>
        <v>-2900</v>
      </c>
      <c r="E26" s="16" t="n">
        <f aca="false">-E7*Hypotheses!C15</f>
        <v>-2900</v>
      </c>
      <c r="F26" s="16" t="n">
        <f aca="false">-F7*Hypotheses!C15</f>
        <v>-4350</v>
      </c>
      <c r="G26" s="16" t="n">
        <f aca="false">-G7*Hypotheses!C15</f>
        <v>-4350</v>
      </c>
      <c r="H26" s="16" t="n">
        <f aca="false">-H7*Hypotheses!C15</f>
        <v>-4350</v>
      </c>
      <c r="I26" s="16" t="n">
        <f aca="false">-I7*Hypotheses!C15</f>
        <v>-5800</v>
      </c>
      <c r="J26" s="16" t="n">
        <f aca="false">-J7*Hypotheses!C15</f>
        <v>-5800</v>
      </c>
      <c r="K26" s="16" t="n">
        <f aca="false">-K7*Hypotheses!C15</f>
        <v>-5800</v>
      </c>
      <c r="L26" s="16" t="n">
        <f aca="false">-L7*Hypotheses!C15</f>
        <v>-5800</v>
      </c>
      <c r="M26" s="16" t="n">
        <f aca="false">-M7*Hypotheses!C15</f>
        <v>-5800</v>
      </c>
      <c r="N26" s="16" t="n">
        <f aca="false">-N7*Hypotheses!C15</f>
        <v>-5800</v>
      </c>
      <c r="O26" s="16" t="n">
        <f aca="false">-O7*Hypotheses!C15</f>
        <v>-11600</v>
      </c>
      <c r="P26" s="16" t="n">
        <f aca="false">-P7*Hypotheses!C15</f>
        <v>-11600</v>
      </c>
      <c r="Q26" s="16" t="n">
        <f aca="false">-Q7*Hypotheses!C15</f>
        <v>-11600</v>
      </c>
      <c r="R26" s="16" t="n">
        <f aca="false">-R7*Hypotheses!C15</f>
        <v>-11600</v>
      </c>
      <c r="S26" s="16" t="n">
        <f aca="false">-S7*Hypotheses!C15</f>
        <v>-11600</v>
      </c>
      <c r="T26" s="16" t="n">
        <f aca="false">-T7*Hypotheses!C15</f>
        <v>-11600</v>
      </c>
      <c r="U26" s="16" t="n">
        <f aca="false">-U7*Hypotheses!C15</f>
        <v>-11600</v>
      </c>
      <c r="V26" s="16" t="n">
        <f aca="false">-V7*Hypotheses!C15</f>
        <v>-11600</v>
      </c>
      <c r="W26" s="16" t="n">
        <f aca="false">-W7*Hypotheses!C15</f>
        <v>-11600</v>
      </c>
      <c r="X26" s="16" t="n">
        <f aca="false">-X7*Hypotheses!C15</f>
        <v>-11600</v>
      </c>
      <c r="Y26" s="16" t="n">
        <f aca="false">-Y7*Hypotheses!C15</f>
        <v>-11600</v>
      </c>
      <c r="Z26" s="16" t="n">
        <f aca="false">-Z7*Hypotheses!C15</f>
        <v>-11600</v>
      </c>
      <c r="AA26" s="16" t="n">
        <f aca="false">-AA7*Hypotheses!C15</f>
        <v>-18560</v>
      </c>
      <c r="AB26" s="16" t="n">
        <f aca="false">-AB7*Hypotheses!C15</f>
        <v>-18560</v>
      </c>
      <c r="AC26" s="16" t="n">
        <f aca="false">-AC7*Hypotheses!C15</f>
        <v>-18560</v>
      </c>
      <c r="AD26" s="16" t="n">
        <f aca="false">-AD7*Hypotheses!C15</f>
        <v>-18560</v>
      </c>
      <c r="AE26" s="16" t="n">
        <f aca="false">-AE7*Hypotheses!C15</f>
        <v>-18560</v>
      </c>
      <c r="AF26" s="16" t="n">
        <f aca="false">-AF7*Hypotheses!C15</f>
        <v>-18560</v>
      </c>
      <c r="AG26" s="16" t="n">
        <f aca="false">-AG7*Hypotheses!C15</f>
        <v>-18560</v>
      </c>
      <c r="AH26" s="16" t="n">
        <f aca="false">-AH7*Hypotheses!C15</f>
        <v>-18560</v>
      </c>
      <c r="AI26" s="16" t="n">
        <f aca="false">-AI7*Hypotheses!C15</f>
        <v>-18560</v>
      </c>
      <c r="AJ26" s="16" t="n">
        <f aca="false">-AJ7*Hypotheses!C15</f>
        <v>-18560</v>
      </c>
      <c r="AK26" s="16" t="n">
        <f aca="false">-AK7*Hypotheses!C15</f>
        <v>-18560</v>
      </c>
      <c r="AL26" s="16" t="n">
        <f aca="false">-AL7*Hypotheses!C15</f>
        <v>-18560</v>
      </c>
    </row>
    <row r="27" customFormat="false" ht="15" hidden="false" customHeight="false" outlineLevel="0" collapsed="false">
      <c r="A27" s="10" t="s">
        <v>99</v>
      </c>
      <c r="B27" s="16" t="n">
        <v>0</v>
      </c>
      <c r="C27" s="16" t="n">
        <f aca="false">-Hypotheses!C34/3</f>
        <v>-733.333333333333</v>
      </c>
      <c r="D27" s="16" t="n">
        <f aca="false">-Hypotheses!C34/3</f>
        <v>-733.333333333333</v>
      </c>
      <c r="E27" s="16" t="n">
        <f aca="false">-Hypotheses!C34/3</f>
        <v>-733.333333333333</v>
      </c>
      <c r="F27" s="16" t="n">
        <v>0</v>
      </c>
      <c r="G27" s="16" t="n">
        <v>0</v>
      </c>
      <c r="H27" s="16" t="n">
        <v>0</v>
      </c>
      <c r="I27" s="16" t="n">
        <f aca="false">-Hypotheses!C35/3</f>
        <v>-1000</v>
      </c>
      <c r="J27" s="16" t="n">
        <f aca="false">-Hypotheses!C35/3</f>
        <v>-1000</v>
      </c>
      <c r="K27" s="16" t="n">
        <f aca="false">-Hypotheses!C35/3</f>
        <v>-1000</v>
      </c>
      <c r="L27" s="16" t="n">
        <f aca="false">-Hypotheses!C36/3</f>
        <v>-1066.66666666667</v>
      </c>
      <c r="M27" s="16" t="n">
        <f aca="false">-Hypotheses!C36/3</f>
        <v>-1066.66666666667</v>
      </c>
      <c r="N27" s="16" t="n">
        <f aca="false">-Hypotheses!C36/3</f>
        <v>-1066.66666666667</v>
      </c>
      <c r="O27" s="16" t="n">
        <v>0</v>
      </c>
      <c r="P27" s="16" t="n">
        <v>0</v>
      </c>
      <c r="Q27" s="16" t="n">
        <v>0</v>
      </c>
      <c r="R27" s="16" t="n">
        <f aca="false">-Hypotheses!C37/3</f>
        <v>-400</v>
      </c>
      <c r="S27" s="16" t="n">
        <f aca="false">-Hypotheses!C37/3</f>
        <v>-400</v>
      </c>
      <c r="T27" s="16" t="n">
        <f aca="false">-Hypotheses!C37/3</f>
        <v>-400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</row>
    <row r="28" customFormat="false" ht="15" hidden="false" customHeight="false" outlineLevel="0" collapsed="false">
      <c r="A28" s="10" t="s">
        <v>100</v>
      </c>
      <c r="B28" s="16" t="n">
        <f aca="false">IF(0&gt;=Hypotheses!C41,-B17*Hypotheses!C40,0)</f>
        <v>0</v>
      </c>
      <c r="C28" s="16" t="n">
        <f aca="false">IF(1&gt;=Hypotheses!C41,-C17*Hypotheses!C40,0)</f>
        <v>0</v>
      </c>
      <c r="D28" s="16" t="n">
        <f aca="false">IF(2&gt;=Hypotheses!C41,-D17*Hypotheses!C40,0)</f>
        <v>0</v>
      </c>
      <c r="E28" s="16" t="n">
        <f aca="false">IF(3&gt;=Hypotheses!C41,-E17*Hypotheses!C40,0)</f>
        <v>0</v>
      </c>
      <c r="F28" s="16" t="n">
        <f aca="false">IF(4&gt;=Hypotheses!C41,-F17*Hypotheses!C40,0)</f>
        <v>0</v>
      </c>
      <c r="G28" s="16" t="n">
        <f aca="false">IF(5&gt;=Hypotheses!C41,-G17*Hypotheses!C40,0)</f>
        <v>0</v>
      </c>
      <c r="H28" s="16" t="n">
        <f aca="false">IF(6&gt;=Hypotheses!C41,-H17*Hypotheses!C40,0)</f>
        <v>0</v>
      </c>
      <c r="I28" s="16" t="n">
        <f aca="false">IF(7&gt;=Hypotheses!C41,-I17*Hypotheses!C40,0)</f>
        <v>0</v>
      </c>
      <c r="J28" s="16" t="n">
        <f aca="false">IF(8&gt;=Hypotheses!C41,-J17*Hypotheses!C40,0)</f>
        <v>0</v>
      </c>
      <c r="K28" s="16" t="n">
        <f aca="false">IF(9&gt;=Hypotheses!C41,-K17*Hypotheses!C40,0)</f>
        <v>-314.0625</v>
      </c>
      <c r="L28" s="16" t="n">
        <f aca="false">IF(10&gt;=Hypotheses!C41,-L17*Hypotheses!C40,0)</f>
        <v>-355.208333333333</v>
      </c>
      <c r="M28" s="16" t="n">
        <f aca="false">IF(11&gt;=Hypotheses!C41,-M17*Hypotheses!C40,0)</f>
        <v>-390.3125</v>
      </c>
      <c r="N28" s="16" t="n">
        <f aca="false">IF(12&gt;=Hypotheses!C41,-N17*Hypotheses!C40,0)</f>
        <v>-428.4375</v>
      </c>
      <c r="O28" s="16" t="n">
        <f aca="false">IF(13&gt;=Hypotheses!C41,-O17*Hypotheses!C40,0)</f>
        <v>-521.666666666667</v>
      </c>
      <c r="P28" s="16" t="n">
        <f aca="false">IF(14&gt;=Hypotheses!C41,-P17*Hypotheses!C40,0)</f>
        <v>-603.958333333333</v>
      </c>
      <c r="Q28" s="16" t="n">
        <f aca="false">IF(15&gt;=Hypotheses!C41,-Q17*Hypotheses!C40,0)</f>
        <v>-683.229166666667</v>
      </c>
      <c r="R28" s="16" t="n">
        <f aca="false">IF(16&gt;=Hypotheses!C41,-R17*Hypotheses!C40,0)</f>
        <v>-759.479166666667</v>
      </c>
      <c r="S28" s="16" t="n">
        <f aca="false">IF(17&gt;=Hypotheses!C41,-S17*Hypotheses!C40,0)</f>
        <v>-832.708333333334</v>
      </c>
      <c r="T28" s="16" t="n">
        <f aca="false">IF(18&gt;=Hypotheses!C41,-T17*Hypotheses!C40,0)</f>
        <v>-902.916666666667</v>
      </c>
      <c r="U28" s="16" t="n">
        <f aca="false">IF(19&gt;=Hypotheses!C41,-U17*Hypotheses!C40,0)</f>
        <v>-965.208333333334</v>
      </c>
      <c r="V28" s="16" t="n">
        <f aca="false">IF(20&gt;=Hypotheses!C41,-V17*Hypotheses!C40,0)</f>
        <v>-1029.375</v>
      </c>
      <c r="W28" s="16" t="n">
        <f aca="false">IF(21&gt;=Hypotheses!C41,-W17*Hypotheses!C40,0)</f>
        <v>-1090.52083333333</v>
      </c>
      <c r="X28" s="16" t="n">
        <f aca="false">IF(22&gt;=Hypotheses!C41,-X17*Hypotheses!C40,0)</f>
        <v>-1143.75</v>
      </c>
      <c r="Y28" s="16" t="n">
        <f aca="false">IF(23&gt;=Hypotheses!C41,-Y17*Hypotheses!C40,0)</f>
        <v>-1193.95833333333</v>
      </c>
      <c r="Z28" s="16" t="n">
        <f aca="false">IF(24&gt;=Hypotheses!C41,-Z17*Hypotheses!C40,0)</f>
        <v>-1249.0625</v>
      </c>
      <c r="AA28" s="16" t="n">
        <f aca="false">IF(25&gt;=Hypotheses!C41,-AA17*Hypotheses!C40,0)</f>
        <v>-1363.4375</v>
      </c>
      <c r="AB28" s="16" t="n">
        <f aca="false">IF(26&gt;=Hypotheses!C41,-AB17*Hypotheses!C40,0)</f>
        <v>-1474.79166666667</v>
      </c>
      <c r="AC28" s="16" t="n">
        <f aca="false">IF(27&gt;=Hypotheses!C41,-AC17*Hypotheses!C40,0)</f>
        <v>-1572.1875</v>
      </c>
      <c r="AD28" s="16" t="n">
        <f aca="false">IF(28&gt;=Hypotheses!C41,-AD17*Hypotheses!C40,0)</f>
        <v>-1674.47916666667</v>
      </c>
      <c r="AE28" s="16" t="n">
        <f aca="false">IF(29&gt;=Hypotheses!C41,-AE17*Hypotheses!C40,0)</f>
        <v>-1762.8125</v>
      </c>
      <c r="AF28" s="16" t="n">
        <f aca="false">IF(30&gt;=Hypotheses!C41,-AF17*Hypotheses!C40,0)</f>
        <v>-1859.0625</v>
      </c>
      <c r="AG28" s="16" t="n">
        <f aca="false">IF(31&gt;=Hypotheses!C41,-AG17*Hypotheses!C40,0)</f>
        <v>-1941.35416666667</v>
      </c>
      <c r="AH28" s="16" t="n">
        <f aca="false">IF(32&gt;=Hypotheses!C41,-AH17*Hypotheses!C40,0)</f>
        <v>-2020.625</v>
      </c>
      <c r="AI28" s="16" t="n">
        <f aca="false">IF(33&gt;=Hypotheses!C41,-AI17*Hypotheses!C40,0)</f>
        <v>-2096.875</v>
      </c>
      <c r="AJ28" s="16" t="n">
        <f aca="false">IF(34&gt;=Hypotheses!C41,-AJ17*Hypotheses!C40,0)</f>
        <v>-2167.08333333333</v>
      </c>
      <c r="AK28" s="16" t="n">
        <f aca="false">IF(35&gt;=Hypotheses!C41,-AK17*Hypotheses!C40,0)</f>
        <v>-2237.29166666667</v>
      </c>
      <c r="AL28" s="16" t="n">
        <f aca="false">IF(36&gt;=Hypotheses!C41,-AL17*Hypotheses!C40,0)</f>
        <v>-2296.5625</v>
      </c>
    </row>
    <row r="30" customFormat="false" ht="15" hidden="false" customHeight="false" outlineLevel="0" collapsed="false">
      <c r="A30" s="18" t="s">
        <v>101</v>
      </c>
      <c r="B30" s="19" t="n">
        <f aca="false">B23+B25+B26+B27+B28</f>
        <v>-185</v>
      </c>
      <c r="C30" s="19" t="n">
        <f aca="false">C23+C25+C26+C27+C28</f>
        <v>-3691.93833333333</v>
      </c>
      <c r="D30" s="19" t="n">
        <f aca="false">D23+D25+D26+D27+D28</f>
        <v>-3565.54333333333</v>
      </c>
      <c r="E30" s="19" t="n">
        <f aca="false">E23+E25+E26+E27+E28</f>
        <v>-3439.14833333333</v>
      </c>
      <c r="F30" s="19" t="n">
        <f aca="false">F23+F25+F26+F27+F28</f>
        <v>-3792.02</v>
      </c>
      <c r="G30" s="19" t="n">
        <f aca="false">G23+G25+G26+G27+G28</f>
        <v>-3575.34</v>
      </c>
      <c r="H30" s="19" t="n">
        <f aca="false">H23+H25+H26+H27+H28</f>
        <v>-3358.66</v>
      </c>
      <c r="I30" s="19" t="n">
        <f aca="false">I23+I25+I26+I27+I28</f>
        <v>-5735.4</v>
      </c>
      <c r="J30" s="19" t="n">
        <f aca="false">J23+J25+J26+J27+J28</f>
        <v>-5490.375</v>
      </c>
      <c r="K30" s="19" t="n">
        <f aca="false">K23+K25+K26+K27+K28</f>
        <v>-5559.4125</v>
      </c>
      <c r="L30" s="19" t="n">
        <f aca="false">L23+L25+L26+L27+L28</f>
        <v>-5422.2</v>
      </c>
      <c r="M30" s="19" t="n">
        <f aca="false">M23+M25+M26+M27+M28</f>
        <v>-5258.74916666667</v>
      </c>
      <c r="N30" s="19" t="n">
        <f aca="false">N23+N25+N26+N27+N28</f>
        <v>-5075.08416666667</v>
      </c>
      <c r="O30" s="19" t="n">
        <f aca="false">O23+O25+O26+O27+O28</f>
        <v>-9326.42166666666</v>
      </c>
      <c r="P30" s="19" t="n">
        <f aca="false">P23+P25+P26+P27+P28</f>
        <v>-8918.66333333333</v>
      </c>
      <c r="Q30" s="19" t="n">
        <f aca="false">Q23+Q25+Q26+Q27+Q28</f>
        <v>-8531.11916666666</v>
      </c>
      <c r="R30" s="19" t="n">
        <f aca="false">R23+R25+R26+R27+R28</f>
        <v>-8563.78916666666</v>
      </c>
      <c r="S30" s="19" t="n">
        <f aca="false">S23+S25+S26+S27+S28</f>
        <v>-8216.67333333333</v>
      </c>
      <c r="T30" s="19" t="n">
        <f aca="false">T23+T25+T26+T27+T28</f>
        <v>-7889.77166666666</v>
      </c>
      <c r="U30" s="19" t="n">
        <f aca="false">U23+U25+U26+U27+U28</f>
        <v>-7836.89333333333</v>
      </c>
      <c r="V30" s="19" t="n">
        <f aca="false">V23+V25+V26+V27+V28</f>
        <v>-7550.42</v>
      </c>
      <c r="W30" s="19" t="n">
        <f aca="false">W23+W25+W26+W27+W28</f>
        <v>-7284.16083333333</v>
      </c>
      <c r="X30" s="19" t="n">
        <f aca="false">X23+X25+X26+X27+X28</f>
        <v>-7071.925</v>
      </c>
      <c r="Y30" s="19" t="n">
        <f aca="false">Y23+Y25+Y26+Y27+Y28</f>
        <v>-6879.90333333333</v>
      </c>
      <c r="Z30" s="19" t="n">
        <f aca="false">Z23+Z25+Z26+Z27+Z28</f>
        <v>-6654.0725</v>
      </c>
      <c r="AA30" s="19" t="n">
        <f aca="false">AA23+AA25+AA26+AA27+AA28</f>
        <v>-13077.5775</v>
      </c>
      <c r="AB30" s="19" t="n">
        <f aca="false">AB23+AB25+AB26+AB27+AB28</f>
        <v>-12561.2966666667</v>
      </c>
      <c r="AC30" s="19" t="n">
        <f aca="false">AC23+AC25+AC26+AC27+AC28</f>
        <v>-12139.4675</v>
      </c>
      <c r="AD30" s="19" t="n">
        <f aca="false">AD23+AD25+AD26+AD27+AD28</f>
        <v>-11683.8291666667</v>
      </c>
      <c r="AE30" s="19" t="n">
        <f aca="false">AE23+AE25+AE26+AE27+AE28</f>
        <v>-11322.6425</v>
      </c>
      <c r="AF30" s="19" t="n">
        <f aca="false">AF23+AF25+AF26+AF27+AF28</f>
        <v>-10907.4325</v>
      </c>
      <c r="AG30" s="19" t="n">
        <f aca="false">AG23+AG25+AG26+AG27+AG28</f>
        <v>-10586.6741666667</v>
      </c>
      <c r="AH30" s="19" t="n">
        <f aca="false">AH23+AH25+AH26+AH27+AH28</f>
        <v>-10286.13</v>
      </c>
      <c r="AI30" s="19" t="n">
        <f aca="false">AI23+AI25+AI26+AI27+AI28</f>
        <v>-10005.8</v>
      </c>
      <c r="AJ30" s="19" t="n">
        <f aca="false">AJ23+AJ25+AJ26+AJ27+AJ28</f>
        <v>-9765.89833333333</v>
      </c>
      <c r="AK30" s="19" t="n">
        <f aca="false">AK23+AK25+AK26+AK27+AK28</f>
        <v>-9525.99666666667</v>
      </c>
      <c r="AL30" s="19" t="n">
        <f aca="false">AL23+AL25+AL26+AL27+AL28</f>
        <v>-9360.3325</v>
      </c>
    </row>
    <row r="32" customFormat="false" ht="15" hidden="false" customHeight="false" outlineLevel="0" collapsed="false">
      <c r="A32" s="18" t="s">
        <v>102</v>
      </c>
      <c r="B32" s="19" t="n">
        <f aca="false">B30</f>
        <v>-185</v>
      </c>
      <c r="C32" s="19" t="n">
        <f aca="false">B32+C30</f>
        <v>-3876.93833333333</v>
      </c>
      <c r="D32" s="19" t="n">
        <f aca="false">C32+D30</f>
        <v>-7442.48166666667</v>
      </c>
      <c r="E32" s="19" t="n">
        <f aca="false">D32+E30</f>
        <v>-10881.63</v>
      </c>
      <c r="F32" s="19" t="n">
        <f aca="false">E32+F30</f>
        <v>-14673.65</v>
      </c>
      <c r="G32" s="19" t="n">
        <f aca="false">F32+G30</f>
        <v>-18248.99</v>
      </c>
      <c r="H32" s="19" t="n">
        <f aca="false">G32+H30</f>
        <v>-21607.65</v>
      </c>
      <c r="I32" s="19" t="n">
        <f aca="false">H32+I30</f>
        <v>-27343.05</v>
      </c>
      <c r="J32" s="19" t="n">
        <f aca="false">I32+J30</f>
        <v>-32833.425</v>
      </c>
      <c r="K32" s="19" t="n">
        <f aca="false">J32+K30</f>
        <v>-38392.8375</v>
      </c>
      <c r="L32" s="19" t="n">
        <f aca="false">K32+L30</f>
        <v>-43815.0375</v>
      </c>
      <c r="M32" s="19" t="n">
        <f aca="false">L32+M30</f>
        <v>-49073.7866666667</v>
      </c>
      <c r="N32" s="19" t="n">
        <f aca="false">M32+N30</f>
        <v>-54148.8708333333</v>
      </c>
      <c r="O32" s="19" t="n">
        <f aca="false">N32+O30</f>
        <v>-63475.2925</v>
      </c>
      <c r="P32" s="19" t="n">
        <f aca="false">O32+P30</f>
        <v>-72393.9558333333</v>
      </c>
      <c r="Q32" s="19" t="n">
        <f aca="false">P32+Q30</f>
        <v>-80925.075</v>
      </c>
      <c r="R32" s="19" t="n">
        <f aca="false">Q32+R30</f>
        <v>-89488.8641666667</v>
      </c>
      <c r="S32" s="19" t="n">
        <f aca="false">R32+S30</f>
        <v>-97705.5375</v>
      </c>
      <c r="T32" s="19" t="n">
        <f aca="false">S32+T30</f>
        <v>-105595.309166667</v>
      </c>
      <c r="U32" s="19" t="n">
        <f aca="false">T32+U30</f>
        <v>-113432.2025</v>
      </c>
      <c r="V32" s="19" t="n">
        <f aca="false">U32+V30</f>
        <v>-120982.6225</v>
      </c>
      <c r="W32" s="19" t="n">
        <f aca="false">V32+W30</f>
        <v>-128266.783333333</v>
      </c>
      <c r="X32" s="19" t="n">
        <f aca="false">W32+X30</f>
        <v>-135338.708333333</v>
      </c>
      <c r="Y32" s="19" t="n">
        <f aca="false">X32+Y30</f>
        <v>-142218.611666667</v>
      </c>
      <c r="Z32" s="19" t="n">
        <f aca="false">Y32+Z30</f>
        <v>-148872.684166667</v>
      </c>
      <c r="AA32" s="19" t="n">
        <f aca="false">Z32+AA30</f>
        <v>-161950.261666667</v>
      </c>
      <c r="AB32" s="19" t="n">
        <f aca="false">AA32+AB30</f>
        <v>-174511.558333333</v>
      </c>
      <c r="AC32" s="19" t="n">
        <f aca="false">AB32+AC30</f>
        <v>-186651.025833333</v>
      </c>
      <c r="AD32" s="19" t="n">
        <f aca="false">AC32+AD30</f>
        <v>-198334.855</v>
      </c>
      <c r="AE32" s="19" t="n">
        <f aca="false">AD32+AE30</f>
        <v>-209657.4975</v>
      </c>
      <c r="AF32" s="19" t="n">
        <f aca="false">AE32+AF30</f>
        <v>-220564.93</v>
      </c>
      <c r="AG32" s="19" t="n">
        <f aca="false">AF32+AG30</f>
        <v>-231151.604166667</v>
      </c>
      <c r="AH32" s="19" t="n">
        <f aca="false">AG32+AH30</f>
        <v>-241437.734166667</v>
      </c>
      <c r="AI32" s="19" t="n">
        <f aca="false">AH32+AI30</f>
        <v>-251443.534166667</v>
      </c>
      <c r="AJ32" s="19" t="n">
        <f aca="false">AI32+AJ30</f>
        <v>-261209.4325</v>
      </c>
      <c r="AK32" s="19" t="n">
        <f aca="false">AJ32+AK30</f>
        <v>-270735.429166667</v>
      </c>
      <c r="AL32" s="19" t="n">
        <f aca="false">AK32+AL30</f>
        <v>-280095.761666667</v>
      </c>
    </row>
  </sheetData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8" min="2" style="0" width="11"/>
  </cols>
  <sheetData>
    <row r="1" customFormat="false" ht="17.35" hidden="false" customHeight="fals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6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 t="s">
        <v>55</v>
      </c>
      <c r="M3" s="9" t="s">
        <v>56</v>
      </c>
      <c r="N3" s="9" t="s">
        <v>57</v>
      </c>
      <c r="O3" s="9" t="s">
        <v>58</v>
      </c>
      <c r="P3" s="9" t="s">
        <v>59</v>
      </c>
      <c r="Q3" s="9" t="s">
        <v>60</v>
      </c>
      <c r="R3" s="9" t="s">
        <v>61</v>
      </c>
      <c r="S3" s="9" t="s">
        <v>62</v>
      </c>
      <c r="T3" s="9" t="s">
        <v>63</v>
      </c>
      <c r="U3" s="9" t="s">
        <v>64</v>
      </c>
      <c r="V3" s="9" t="s">
        <v>65</v>
      </c>
      <c r="W3" s="9" t="s">
        <v>66</v>
      </c>
      <c r="X3" s="9" t="s">
        <v>67</v>
      </c>
      <c r="Y3" s="9" t="s">
        <v>68</v>
      </c>
      <c r="Z3" s="9" t="s">
        <v>69</v>
      </c>
      <c r="AA3" s="9" t="s">
        <v>70</v>
      </c>
      <c r="AB3" s="9" t="s">
        <v>71</v>
      </c>
      <c r="AC3" s="9" t="s">
        <v>72</v>
      </c>
      <c r="AD3" s="9" t="s">
        <v>73</v>
      </c>
      <c r="AE3" s="9" t="s">
        <v>74</v>
      </c>
      <c r="AF3" s="9" t="s">
        <v>75</v>
      </c>
      <c r="AG3" s="9" t="s">
        <v>76</v>
      </c>
      <c r="AH3" s="9" t="s">
        <v>77</v>
      </c>
      <c r="AI3" s="9" t="s">
        <v>78</v>
      </c>
      <c r="AJ3" s="9" t="s">
        <v>79</v>
      </c>
      <c r="AK3" s="9" t="s">
        <v>80</v>
      </c>
      <c r="AL3" s="9" t="s">
        <v>81</v>
      </c>
    </row>
    <row r="5" customFormat="false" ht="15" hidden="false" customHeight="false" outlineLevel="0" collapsed="false">
      <c r="A5" s="10" t="s">
        <v>82</v>
      </c>
      <c r="B5" s="11" t="n">
        <v>0</v>
      </c>
      <c r="C5" s="11" t="n">
        <f aca="false">Hypotheses!D10/12*0.5</f>
        <v>666.666666666667</v>
      </c>
      <c r="D5" s="11" t="n">
        <f aca="false">Hypotheses!D10/12*0.5</f>
        <v>666.666666666667</v>
      </c>
      <c r="E5" s="11" t="n">
        <f aca="false">Hypotheses!D10/12*0.5</f>
        <v>666.666666666667</v>
      </c>
      <c r="F5" s="11" t="n">
        <f aca="false">Hypotheses!D10/12*0.75</f>
        <v>1000</v>
      </c>
      <c r="G5" s="11" t="n">
        <f aca="false">Hypotheses!D10/12*0.75</f>
        <v>1000</v>
      </c>
      <c r="H5" s="11" t="n">
        <f aca="false">Hypotheses!D10/12*0.75</f>
        <v>1000</v>
      </c>
      <c r="I5" s="11" t="n">
        <f aca="false">Hypotheses!D10/12</f>
        <v>1333.33333333333</v>
      </c>
      <c r="J5" s="11" t="n">
        <f aca="false">Hypotheses!D10/12</f>
        <v>1333.33333333333</v>
      </c>
      <c r="K5" s="11" t="n">
        <f aca="false">Hypotheses!D10/12</f>
        <v>1333.33333333333</v>
      </c>
      <c r="L5" s="11" t="n">
        <f aca="false">Hypotheses!D10/12</f>
        <v>1333.33333333333</v>
      </c>
      <c r="M5" s="11" t="n">
        <f aca="false">Hypotheses!D10/12</f>
        <v>1333.33333333333</v>
      </c>
      <c r="N5" s="11" t="n">
        <f aca="false">Hypotheses!D10/12</f>
        <v>1333.33333333333</v>
      </c>
      <c r="O5" s="11" t="n">
        <f aca="false">Hypotheses!D10/12*(1+Hypotheses!D11)</f>
        <v>3333.33333333333</v>
      </c>
      <c r="P5" s="11" t="n">
        <f aca="false">Hypotheses!D10/12*(1+Hypotheses!D11)</f>
        <v>3333.33333333333</v>
      </c>
      <c r="Q5" s="11" t="n">
        <f aca="false">Hypotheses!D10/12*(1+Hypotheses!D11)</f>
        <v>3333.33333333333</v>
      </c>
      <c r="R5" s="11" t="n">
        <f aca="false">Hypotheses!D10/12*(1+Hypotheses!D11)</f>
        <v>3333.33333333333</v>
      </c>
      <c r="S5" s="11" t="n">
        <f aca="false">Hypotheses!D10/12*(1+Hypotheses!D11)</f>
        <v>3333.33333333333</v>
      </c>
      <c r="T5" s="11" t="n">
        <f aca="false">Hypotheses!D10/12*(1+Hypotheses!D11)</f>
        <v>3333.33333333333</v>
      </c>
      <c r="U5" s="11" t="n">
        <f aca="false">Hypotheses!D10/12*(1+Hypotheses!D11)</f>
        <v>3333.33333333333</v>
      </c>
      <c r="V5" s="11" t="n">
        <f aca="false">Hypotheses!D10/12*(1+Hypotheses!D11)</f>
        <v>3333.33333333333</v>
      </c>
      <c r="W5" s="11" t="n">
        <f aca="false">Hypotheses!D10/12*(1+Hypotheses!D11)</f>
        <v>3333.33333333333</v>
      </c>
      <c r="X5" s="11" t="n">
        <f aca="false">Hypotheses!D10/12*(1+Hypotheses!D11)</f>
        <v>3333.33333333333</v>
      </c>
      <c r="Y5" s="11" t="n">
        <f aca="false">Hypotheses!D10/12*(1+Hypotheses!D11)</f>
        <v>3333.33333333333</v>
      </c>
      <c r="Z5" s="11" t="n">
        <f aca="false">Hypotheses!D10/12*(1+Hypotheses!D11)</f>
        <v>3333.33333333333</v>
      </c>
      <c r="AA5" s="11" t="n">
        <f aca="false">Hypotheses!D10/12*(1+Hypotheses!D11)*(1+Hypotheses!D12)</f>
        <v>6000</v>
      </c>
      <c r="AB5" s="11" t="n">
        <f aca="false">Hypotheses!D10/12*(1+Hypotheses!D11)*(1+Hypotheses!D12)</f>
        <v>6000</v>
      </c>
      <c r="AC5" s="11" t="n">
        <f aca="false">Hypotheses!D10/12*(1+Hypotheses!D11)*(1+Hypotheses!D12)</f>
        <v>6000</v>
      </c>
      <c r="AD5" s="11" t="n">
        <f aca="false">Hypotheses!D10/12*(1+Hypotheses!D11)*(1+Hypotheses!D12)</f>
        <v>6000</v>
      </c>
      <c r="AE5" s="11" t="n">
        <f aca="false">Hypotheses!D10/12*(1+Hypotheses!D11)*(1+Hypotheses!D12)</f>
        <v>6000</v>
      </c>
      <c r="AF5" s="11" t="n">
        <f aca="false">Hypotheses!D10/12*(1+Hypotheses!D11)*(1+Hypotheses!D12)</f>
        <v>6000</v>
      </c>
      <c r="AG5" s="11" t="n">
        <f aca="false">Hypotheses!D10/12*(1+Hypotheses!D11)*(1+Hypotheses!D12)</f>
        <v>6000</v>
      </c>
      <c r="AH5" s="11" t="n">
        <f aca="false">Hypotheses!D10/12*(1+Hypotheses!D11)*(1+Hypotheses!D12)</f>
        <v>6000</v>
      </c>
      <c r="AI5" s="11" t="n">
        <f aca="false">Hypotheses!D10/12*(1+Hypotheses!D11)*(1+Hypotheses!D12)</f>
        <v>6000</v>
      </c>
      <c r="AJ5" s="11" t="n">
        <f aca="false">Hypotheses!D10/12*(1+Hypotheses!D11)*(1+Hypotheses!D12)</f>
        <v>6000</v>
      </c>
      <c r="AK5" s="11" t="n">
        <f aca="false">Hypotheses!D10/12*(1+Hypotheses!D11)*(1+Hypotheses!D12)</f>
        <v>6000</v>
      </c>
      <c r="AL5" s="11" t="n">
        <f aca="false">Hypotheses!D10/12*(1+Hypotheses!D11)*(1+Hypotheses!D12)</f>
        <v>6000</v>
      </c>
    </row>
    <row r="6" customFormat="false" ht="15" hidden="false" customHeight="false" outlineLevel="0" collapsed="false">
      <c r="A6" s="10" t="s">
        <v>83</v>
      </c>
      <c r="B6" s="12" t="n">
        <f aca="false">B5</f>
        <v>0</v>
      </c>
      <c r="C6" s="12" t="n">
        <f aca="false">B6+C5</f>
        <v>666.666666666667</v>
      </c>
      <c r="D6" s="12" t="n">
        <f aca="false">C6+D5</f>
        <v>1333.33333333333</v>
      </c>
      <c r="E6" s="12" t="n">
        <f aca="false">D6+E5</f>
        <v>2000</v>
      </c>
      <c r="F6" s="12" t="n">
        <f aca="false">E6+F5</f>
        <v>3000</v>
      </c>
      <c r="G6" s="12" t="n">
        <f aca="false">F6+G5</f>
        <v>4000</v>
      </c>
      <c r="H6" s="12" t="n">
        <f aca="false">G6+H5</f>
        <v>5000</v>
      </c>
      <c r="I6" s="12" t="n">
        <f aca="false">H6+I5</f>
        <v>6333.33333333333</v>
      </c>
      <c r="J6" s="12" t="n">
        <f aca="false">I6+J5</f>
        <v>7666.66666666667</v>
      </c>
      <c r="K6" s="12" t="n">
        <f aca="false">J6+K5</f>
        <v>9000</v>
      </c>
      <c r="L6" s="12" t="n">
        <f aca="false">K6+L5</f>
        <v>10333.3333333333</v>
      </c>
      <c r="M6" s="12" t="n">
        <f aca="false">L6+M5</f>
        <v>11666.6666666667</v>
      </c>
      <c r="N6" s="12" t="n">
        <f aca="false">M6+N5</f>
        <v>13000</v>
      </c>
      <c r="O6" s="12" t="n">
        <f aca="false">N6+O5</f>
        <v>16333.3333333333</v>
      </c>
      <c r="P6" s="12" t="n">
        <f aca="false">O6+P5</f>
        <v>19666.6666666667</v>
      </c>
      <c r="Q6" s="12" t="n">
        <f aca="false">P6+Q5</f>
        <v>23000</v>
      </c>
      <c r="R6" s="12" t="n">
        <f aca="false">Q6+R5</f>
        <v>26333.3333333333</v>
      </c>
      <c r="S6" s="12" t="n">
        <f aca="false">R6+S5</f>
        <v>29666.6666666667</v>
      </c>
      <c r="T6" s="12" t="n">
        <f aca="false">S6+T5</f>
        <v>33000</v>
      </c>
      <c r="U6" s="12" t="n">
        <f aca="false">T6+U5</f>
        <v>36333.3333333333</v>
      </c>
      <c r="V6" s="12" t="n">
        <f aca="false">U6+V5</f>
        <v>39666.6666666667</v>
      </c>
      <c r="W6" s="12" t="n">
        <f aca="false">V6+W5</f>
        <v>43000</v>
      </c>
      <c r="X6" s="12" t="n">
        <f aca="false">W6+X5</f>
        <v>46333.3333333333</v>
      </c>
      <c r="Y6" s="12" t="n">
        <f aca="false">X6+Y5</f>
        <v>49666.6666666667</v>
      </c>
      <c r="Z6" s="12" t="n">
        <f aca="false">Y6+Z5</f>
        <v>53000</v>
      </c>
      <c r="AA6" s="12" t="n">
        <f aca="false">Z6+AA5</f>
        <v>59000</v>
      </c>
      <c r="AB6" s="12" t="n">
        <f aca="false">AA6+AB5</f>
        <v>65000</v>
      </c>
      <c r="AC6" s="12" t="n">
        <f aca="false">AB6+AC5</f>
        <v>71000</v>
      </c>
      <c r="AD6" s="12" t="n">
        <f aca="false">AC6+AD5</f>
        <v>77000</v>
      </c>
      <c r="AE6" s="12" t="n">
        <f aca="false">AD6+AE5</f>
        <v>83000</v>
      </c>
      <c r="AF6" s="12" t="n">
        <f aca="false">AE6+AF5</f>
        <v>89000</v>
      </c>
      <c r="AG6" s="12" t="n">
        <f aca="false">AF6+AG5</f>
        <v>95000</v>
      </c>
      <c r="AH6" s="12" t="n">
        <f aca="false">AG6+AH5</f>
        <v>101000</v>
      </c>
      <c r="AI6" s="12" t="n">
        <f aca="false">AH6+AI5</f>
        <v>107000</v>
      </c>
      <c r="AJ6" s="12" t="n">
        <f aca="false">AI6+AJ5</f>
        <v>113000</v>
      </c>
      <c r="AK6" s="12" t="n">
        <f aca="false">AJ6+AK5</f>
        <v>119000</v>
      </c>
      <c r="AL6" s="12" t="n">
        <f aca="false">AK6+AL5</f>
        <v>125000</v>
      </c>
    </row>
    <row r="7" customFormat="false" ht="15" hidden="false" customHeight="false" outlineLevel="0" collapsed="false">
      <c r="A7" s="10" t="s">
        <v>84</v>
      </c>
      <c r="B7" s="13" t="n">
        <f aca="false">B5*Hypotheses!D13</f>
        <v>0</v>
      </c>
      <c r="C7" s="13" t="n">
        <f aca="false">C5*Hypotheses!D13</f>
        <v>33.3333333333333</v>
      </c>
      <c r="D7" s="13" t="n">
        <f aca="false">D5*Hypotheses!D13</f>
        <v>33.3333333333333</v>
      </c>
      <c r="E7" s="13" t="n">
        <f aca="false">E5*Hypotheses!D13</f>
        <v>33.3333333333333</v>
      </c>
      <c r="F7" s="13" t="n">
        <f aca="false">F5*Hypotheses!D13</f>
        <v>50</v>
      </c>
      <c r="G7" s="13" t="n">
        <f aca="false">G5*Hypotheses!D13</f>
        <v>50</v>
      </c>
      <c r="H7" s="13" t="n">
        <f aca="false">H5*Hypotheses!D13</f>
        <v>50</v>
      </c>
      <c r="I7" s="13" t="n">
        <f aca="false">I5*Hypotheses!D13</f>
        <v>66.6666666666667</v>
      </c>
      <c r="J7" s="13" t="n">
        <f aca="false">J5*Hypotheses!D13</f>
        <v>66.6666666666667</v>
      </c>
      <c r="K7" s="13" t="n">
        <f aca="false">K5*Hypotheses!D13</f>
        <v>66.6666666666667</v>
      </c>
      <c r="L7" s="13" t="n">
        <f aca="false">L5*Hypotheses!D13</f>
        <v>66.6666666666667</v>
      </c>
      <c r="M7" s="13" t="n">
        <f aca="false">M5*Hypotheses!D13</f>
        <v>66.6666666666667</v>
      </c>
      <c r="N7" s="13" t="n">
        <f aca="false">N5*Hypotheses!D13</f>
        <v>66.6666666666667</v>
      </c>
      <c r="O7" s="13" t="n">
        <f aca="false">O5*Hypotheses!D13</f>
        <v>166.666666666667</v>
      </c>
      <c r="P7" s="13" t="n">
        <f aca="false">P5*Hypotheses!D13</f>
        <v>166.666666666667</v>
      </c>
      <c r="Q7" s="13" t="n">
        <f aca="false">Q5*Hypotheses!D13</f>
        <v>166.666666666667</v>
      </c>
      <c r="R7" s="13" t="n">
        <f aca="false">R5*Hypotheses!D13</f>
        <v>166.666666666667</v>
      </c>
      <c r="S7" s="13" t="n">
        <f aca="false">S5*Hypotheses!D13</f>
        <v>166.666666666667</v>
      </c>
      <c r="T7" s="13" t="n">
        <f aca="false">T5*Hypotheses!D13</f>
        <v>166.666666666667</v>
      </c>
      <c r="U7" s="13" t="n">
        <f aca="false">U5*Hypotheses!D13</f>
        <v>166.666666666667</v>
      </c>
      <c r="V7" s="13" t="n">
        <f aca="false">V5*Hypotheses!D13</f>
        <v>166.666666666667</v>
      </c>
      <c r="W7" s="13" t="n">
        <f aca="false">W5*Hypotheses!D13</f>
        <v>166.666666666667</v>
      </c>
      <c r="X7" s="13" t="n">
        <f aca="false">X5*Hypotheses!D13</f>
        <v>166.666666666667</v>
      </c>
      <c r="Y7" s="13" t="n">
        <f aca="false">Y5*Hypotheses!D13</f>
        <v>166.666666666667</v>
      </c>
      <c r="Z7" s="13" t="n">
        <f aca="false">Z5*Hypotheses!D13</f>
        <v>166.666666666667</v>
      </c>
      <c r="AA7" s="13" t="n">
        <f aca="false">AA5*Hypotheses!D13</f>
        <v>300</v>
      </c>
      <c r="AB7" s="13" t="n">
        <f aca="false">AB5*Hypotheses!D13</f>
        <v>300</v>
      </c>
      <c r="AC7" s="13" t="n">
        <f aca="false">AC5*Hypotheses!D13</f>
        <v>300</v>
      </c>
      <c r="AD7" s="13" t="n">
        <f aca="false">AD5*Hypotheses!D13</f>
        <v>300</v>
      </c>
      <c r="AE7" s="13" t="n">
        <f aca="false">AE5*Hypotheses!D13</f>
        <v>300</v>
      </c>
      <c r="AF7" s="13" t="n">
        <f aca="false">AF5*Hypotheses!D13</f>
        <v>300</v>
      </c>
      <c r="AG7" s="13" t="n">
        <f aca="false">AG5*Hypotheses!D13</f>
        <v>300</v>
      </c>
      <c r="AH7" s="13" t="n">
        <f aca="false">AH5*Hypotheses!D13</f>
        <v>300</v>
      </c>
      <c r="AI7" s="13" t="n">
        <f aca="false">AI5*Hypotheses!D13</f>
        <v>300</v>
      </c>
      <c r="AJ7" s="13" t="n">
        <f aca="false">AJ5*Hypotheses!D13</f>
        <v>300</v>
      </c>
      <c r="AK7" s="13" t="n">
        <f aca="false">AK5*Hypotheses!D13</f>
        <v>300</v>
      </c>
      <c r="AL7" s="13" t="n">
        <f aca="false">AL5*Hypotheses!D13</f>
        <v>300</v>
      </c>
    </row>
    <row r="8" customFormat="false" ht="15" hidden="false" customHeight="false" outlineLevel="0" collapsed="false">
      <c r="A8" s="10" t="s">
        <v>85</v>
      </c>
      <c r="B8" s="13" t="n">
        <f aca="false">B7</f>
        <v>0</v>
      </c>
      <c r="C8" s="13" t="n">
        <f aca="false">B8*(1-Hypotheses!D14)+C7</f>
        <v>33.3333333333333</v>
      </c>
      <c r="D8" s="13" t="n">
        <f aca="false">C8*(1-Hypotheses!D14)+D7</f>
        <v>65.6666666666667</v>
      </c>
      <c r="E8" s="13" t="n">
        <f aca="false">D8*(1-Hypotheses!D14)+E7</f>
        <v>97.03</v>
      </c>
      <c r="F8" s="13" t="n">
        <f aca="false">E8*(1-Hypotheses!D14)+F7</f>
        <v>144.1191</v>
      </c>
      <c r="G8" s="13" t="n">
        <f aca="false">F8*(1-Hypotheses!D14)+G7</f>
        <v>189.795527</v>
      </c>
      <c r="H8" s="13" t="n">
        <f aca="false">G8*(1-Hypotheses!D14)+H7</f>
        <v>234.10166119</v>
      </c>
      <c r="I8" s="13" t="n">
        <f aca="false">H8*(1-Hypotheses!D14)+I7</f>
        <v>293.745278020967</v>
      </c>
      <c r="J8" s="13" t="n">
        <f aca="false">I8*(1-Hypotheses!D14)+J7</f>
        <v>351.599586347004</v>
      </c>
      <c r="K8" s="13" t="n">
        <f aca="false">J8*(1-Hypotheses!D14)+K7</f>
        <v>407.718265423261</v>
      </c>
      <c r="L8" s="13" t="n">
        <f aca="false">K8*(1-Hypotheses!D14)+L7</f>
        <v>462.15338412723</v>
      </c>
      <c r="M8" s="13" t="n">
        <f aca="false">L8*(1-Hypotheses!D14)+M7</f>
        <v>514.95544927008</v>
      </c>
      <c r="N8" s="13" t="n">
        <f aca="false">M8*(1-Hypotheses!D14)+N7</f>
        <v>566.173452458644</v>
      </c>
      <c r="O8" s="13" t="n">
        <f aca="false">N8*(1-Hypotheses!D14)+O7</f>
        <v>715.854915551551</v>
      </c>
      <c r="P8" s="13" t="n">
        <f aca="false">O8*(1-Hypotheses!D14)+P7</f>
        <v>861.045934751671</v>
      </c>
      <c r="Q8" s="13" t="n">
        <f aca="false">P8*(1-Hypotheses!D14)+Q7</f>
        <v>1001.88122337579</v>
      </c>
      <c r="R8" s="13" t="n">
        <f aca="false">Q8*(1-Hypotheses!D14)+R7</f>
        <v>1138.49145334118</v>
      </c>
      <c r="S8" s="13" t="n">
        <f aca="false">R8*(1-Hypotheses!D14)+S7</f>
        <v>1271.00337640761</v>
      </c>
      <c r="T8" s="13" t="n">
        <f aca="false">S8*(1-Hypotheses!D14)+T7</f>
        <v>1399.53994178205</v>
      </c>
      <c r="U8" s="13" t="n">
        <f aca="false">T8*(1-Hypotheses!D14)+U7</f>
        <v>1524.22041019526</v>
      </c>
      <c r="V8" s="13" t="n">
        <f aca="false">U8*(1-Hypotheses!D14)+V7</f>
        <v>1645.16046455606</v>
      </c>
      <c r="W8" s="13" t="n">
        <f aca="false">V8*(1-Hypotheses!D14)+W7</f>
        <v>1762.47231728605</v>
      </c>
      <c r="X8" s="13" t="n">
        <f aca="false">W8*(1-Hypotheses!D14)+X7</f>
        <v>1876.26481443413</v>
      </c>
      <c r="Y8" s="13" t="n">
        <f aca="false">X8*(1-Hypotheses!D14)+Y7</f>
        <v>1986.64353666778</v>
      </c>
      <c r="Z8" s="13" t="n">
        <f aca="false">Y8*(1-Hypotheses!D14)+Z7</f>
        <v>2093.71089723441</v>
      </c>
      <c r="AA8" s="13" t="n">
        <f aca="false">Z8*(1-Hypotheses!D14)+AA7</f>
        <v>2330.89957031738</v>
      </c>
      <c r="AB8" s="13" t="n">
        <f aca="false">AA8*(1-Hypotheses!D14)+AB7</f>
        <v>2560.97258320786</v>
      </c>
      <c r="AC8" s="13" t="n">
        <f aca="false">AB8*(1-Hypotheses!D14)+AC7</f>
        <v>2784.14340571162</v>
      </c>
      <c r="AD8" s="13" t="n">
        <f aca="false">AC8*(1-Hypotheses!D14)+AD7</f>
        <v>3000.61910354027</v>
      </c>
      <c r="AE8" s="13" t="n">
        <f aca="false">AD8*(1-Hypotheses!D14)+AE7</f>
        <v>3210.60053043406</v>
      </c>
      <c r="AF8" s="13" t="n">
        <f aca="false">AE8*(1-Hypotheses!D14)+AF7</f>
        <v>3414.28251452104</v>
      </c>
      <c r="AG8" s="13" t="n">
        <f aca="false">AF8*(1-Hypotheses!D14)+AG7</f>
        <v>3611.85403908541</v>
      </c>
      <c r="AH8" s="13" t="n">
        <f aca="false">AG8*(1-Hypotheses!D14)+AH7</f>
        <v>3803.49841791285</v>
      </c>
      <c r="AI8" s="13" t="n">
        <f aca="false">AH8*(1-Hypotheses!D14)+AI7</f>
        <v>3989.39346537546</v>
      </c>
      <c r="AJ8" s="13" t="n">
        <f aca="false">AI8*(1-Hypotheses!D14)+AJ7</f>
        <v>4169.7116614142</v>
      </c>
      <c r="AK8" s="13" t="n">
        <f aca="false">AJ8*(1-Hypotheses!D14)+AK7</f>
        <v>4344.62031157177</v>
      </c>
      <c r="AL8" s="13" t="n">
        <f aca="false">AK8*(1-Hypotheses!D14)+AL7</f>
        <v>4514.28170222462</v>
      </c>
    </row>
    <row r="10" customFormat="false" ht="15" hidden="false" customHeight="false" outlineLevel="0" collapsed="false">
      <c r="A10" s="10" t="s">
        <v>86</v>
      </c>
      <c r="B10" s="12" t="n">
        <f aca="false">ROUND(B8,0)</f>
        <v>0</v>
      </c>
      <c r="C10" s="12" t="n">
        <f aca="false">ROUND(C8,0)</f>
        <v>33</v>
      </c>
      <c r="D10" s="12" t="n">
        <f aca="false">ROUND(D8,0)</f>
        <v>66</v>
      </c>
      <c r="E10" s="12" t="n">
        <f aca="false">ROUND(E8,0)</f>
        <v>97</v>
      </c>
      <c r="F10" s="12" t="n">
        <f aca="false">ROUND(F8,0)</f>
        <v>144</v>
      </c>
      <c r="G10" s="12" t="n">
        <f aca="false">ROUND(G8,0)</f>
        <v>190</v>
      </c>
      <c r="H10" s="12" t="n">
        <f aca="false">ROUND(H8,0)</f>
        <v>234</v>
      </c>
      <c r="I10" s="12" t="n">
        <f aca="false">ROUND(I8,0)</f>
        <v>294</v>
      </c>
      <c r="J10" s="12" t="n">
        <f aca="false">ROUND(J8,0)</f>
        <v>352</v>
      </c>
      <c r="K10" s="12" t="n">
        <f aca="false">ROUND(K8,0)</f>
        <v>408</v>
      </c>
      <c r="L10" s="12" t="n">
        <f aca="false">ROUND(L8,0)</f>
        <v>462</v>
      </c>
      <c r="M10" s="12" t="n">
        <f aca="false">ROUND(M8,0)</f>
        <v>515</v>
      </c>
      <c r="N10" s="12" t="n">
        <f aca="false">ROUND(N8,0)</f>
        <v>566</v>
      </c>
      <c r="O10" s="12" t="n">
        <f aca="false">ROUND(O8,0)</f>
        <v>716</v>
      </c>
      <c r="P10" s="12" t="n">
        <f aca="false">ROUND(P8,0)</f>
        <v>861</v>
      </c>
      <c r="Q10" s="12" t="n">
        <f aca="false">ROUND(Q8,0)</f>
        <v>1002</v>
      </c>
      <c r="R10" s="12" t="n">
        <f aca="false">ROUND(R8,0)</f>
        <v>1138</v>
      </c>
      <c r="S10" s="12" t="n">
        <f aca="false">ROUND(S8,0)</f>
        <v>1271</v>
      </c>
      <c r="T10" s="12" t="n">
        <f aca="false">ROUND(T8,0)</f>
        <v>1400</v>
      </c>
      <c r="U10" s="12" t="n">
        <f aca="false">ROUND(U8,0)</f>
        <v>1524</v>
      </c>
      <c r="V10" s="12" t="n">
        <f aca="false">ROUND(V8,0)</f>
        <v>1645</v>
      </c>
      <c r="W10" s="12" t="n">
        <f aca="false">ROUND(W8,0)</f>
        <v>1762</v>
      </c>
      <c r="X10" s="12" t="n">
        <f aca="false">ROUND(X8,0)</f>
        <v>1876</v>
      </c>
      <c r="Y10" s="12" t="n">
        <f aca="false">ROUND(Y8,0)</f>
        <v>1987</v>
      </c>
      <c r="Z10" s="12" t="n">
        <f aca="false">ROUND(Z8,0)</f>
        <v>2094</v>
      </c>
      <c r="AA10" s="12" t="n">
        <f aca="false">ROUND(AA8,0)</f>
        <v>2331</v>
      </c>
      <c r="AB10" s="12" t="n">
        <f aca="false">ROUND(AB8,0)</f>
        <v>2561</v>
      </c>
      <c r="AC10" s="12" t="n">
        <f aca="false">ROUND(AC8,0)</f>
        <v>2784</v>
      </c>
      <c r="AD10" s="12" t="n">
        <f aca="false">ROUND(AD8,0)</f>
        <v>3001</v>
      </c>
      <c r="AE10" s="12" t="n">
        <f aca="false">ROUND(AE8,0)</f>
        <v>3211</v>
      </c>
      <c r="AF10" s="12" t="n">
        <f aca="false">ROUND(AF8,0)</f>
        <v>3414</v>
      </c>
      <c r="AG10" s="12" t="n">
        <f aca="false">ROUND(AG8,0)</f>
        <v>3612</v>
      </c>
      <c r="AH10" s="12" t="n">
        <f aca="false">ROUND(AH8,0)</f>
        <v>3803</v>
      </c>
      <c r="AI10" s="12" t="n">
        <f aca="false">ROUND(AI8,0)</f>
        <v>3989</v>
      </c>
      <c r="AJ10" s="12" t="n">
        <f aca="false">ROUND(AJ8,0)</f>
        <v>4170</v>
      </c>
      <c r="AK10" s="12" t="n">
        <f aca="false">ROUND(AK8,0)</f>
        <v>4345</v>
      </c>
      <c r="AL10" s="12" t="n">
        <f aca="false">ROUND(AL8,0)</f>
        <v>4514</v>
      </c>
    </row>
    <row r="12" customFormat="false" ht="15" hidden="false" customHeight="false" outlineLevel="0" collapsed="false">
      <c r="A12" s="10" t="s">
        <v>87</v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f aca="false">ROUND(F10*Hypotheses!D18,0)</f>
        <v>22</v>
      </c>
      <c r="G12" s="12" t="n">
        <f aca="false">ROUND(G10*Hypotheses!D18,0)</f>
        <v>29</v>
      </c>
      <c r="H12" s="12" t="n">
        <f aca="false">ROUND(H10*Hypotheses!D18,0)</f>
        <v>35</v>
      </c>
      <c r="I12" s="12" t="n">
        <f aca="false">ROUND(I10*Hypotheses!D18,0)</f>
        <v>44</v>
      </c>
      <c r="J12" s="12" t="n">
        <f aca="false">ROUND(J10*Hypotheses!D18,0)</f>
        <v>53</v>
      </c>
      <c r="K12" s="12" t="n">
        <f aca="false">ROUND(K10*Hypotheses!D18,0)</f>
        <v>61</v>
      </c>
      <c r="L12" s="12" t="n">
        <f aca="false">ROUND(L10*Hypotheses!D18,0)</f>
        <v>69</v>
      </c>
      <c r="M12" s="12" t="n">
        <f aca="false">ROUND(M10*Hypotheses!D18,0)</f>
        <v>77</v>
      </c>
      <c r="N12" s="12" t="n">
        <f aca="false">ROUND(N10*Hypotheses!D18,0)</f>
        <v>85</v>
      </c>
      <c r="O12" s="12" t="n">
        <f aca="false">ROUND(O10*Hypotheses!D18,0)</f>
        <v>107</v>
      </c>
      <c r="P12" s="12" t="n">
        <f aca="false">ROUND(P10*Hypotheses!D18,0)</f>
        <v>129</v>
      </c>
      <c r="Q12" s="12" t="n">
        <f aca="false">ROUND(Q10*Hypotheses!D18,0)</f>
        <v>150</v>
      </c>
      <c r="R12" s="12" t="n">
        <f aca="false">ROUND(R10*Hypotheses!D18,0)</f>
        <v>171</v>
      </c>
      <c r="S12" s="12" t="n">
        <f aca="false">ROUND(S10*Hypotheses!D18,0)</f>
        <v>191</v>
      </c>
      <c r="T12" s="12" t="n">
        <f aca="false">ROUND(T10*Hypotheses!D18,0)</f>
        <v>210</v>
      </c>
      <c r="U12" s="12" t="n">
        <f aca="false">ROUND(U10*Hypotheses!D18,0)</f>
        <v>229</v>
      </c>
      <c r="V12" s="12" t="n">
        <f aca="false">ROUND(V10*Hypotheses!D18,0)</f>
        <v>247</v>
      </c>
      <c r="W12" s="12" t="n">
        <f aca="false">ROUND(W10*Hypotheses!D18,0)</f>
        <v>264</v>
      </c>
      <c r="X12" s="12" t="n">
        <f aca="false">ROUND(X10*Hypotheses!D18,0)</f>
        <v>281</v>
      </c>
      <c r="Y12" s="12" t="n">
        <f aca="false">ROUND(Y10*Hypotheses!D18,0)</f>
        <v>298</v>
      </c>
      <c r="Z12" s="12" t="n">
        <f aca="false">ROUND(Z10*Hypotheses!D18,0)</f>
        <v>314</v>
      </c>
      <c r="AA12" s="12" t="n">
        <f aca="false">ROUND(AA10*Hypotheses!D18,0)</f>
        <v>350</v>
      </c>
      <c r="AB12" s="12" t="n">
        <f aca="false">ROUND(AB10*Hypotheses!D18,0)</f>
        <v>384</v>
      </c>
      <c r="AC12" s="12" t="n">
        <f aca="false">ROUND(AC10*Hypotheses!D18,0)</f>
        <v>418</v>
      </c>
      <c r="AD12" s="12" t="n">
        <f aca="false">ROUND(AD10*Hypotheses!D18,0)</f>
        <v>450</v>
      </c>
      <c r="AE12" s="12" t="n">
        <f aca="false">ROUND(AE10*Hypotheses!D18,0)</f>
        <v>482</v>
      </c>
      <c r="AF12" s="12" t="n">
        <f aca="false">ROUND(AF10*Hypotheses!D18,0)</f>
        <v>512</v>
      </c>
      <c r="AG12" s="12" t="n">
        <f aca="false">ROUND(AG10*Hypotheses!D18,0)</f>
        <v>542</v>
      </c>
      <c r="AH12" s="12" t="n">
        <f aca="false">ROUND(AH10*Hypotheses!D18,0)</f>
        <v>570</v>
      </c>
      <c r="AI12" s="12" t="n">
        <f aca="false">ROUND(AI10*Hypotheses!D18,0)</f>
        <v>598</v>
      </c>
      <c r="AJ12" s="12" t="n">
        <f aca="false">ROUND(AJ10*Hypotheses!D18,0)</f>
        <v>626</v>
      </c>
      <c r="AK12" s="12" t="n">
        <f aca="false">ROUND(AK10*Hypotheses!D18,0)</f>
        <v>652</v>
      </c>
      <c r="AL12" s="12" t="n">
        <f aca="false">ROUND(AL10*Hypotheses!D18,0)</f>
        <v>677</v>
      </c>
    </row>
    <row r="13" customFormat="false" ht="15" hidden="false" customHeight="false" outlineLevel="0" collapsed="false">
      <c r="A13" s="10" t="s">
        <v>88</v>
      </c>
      <c r="B13" s="12" t="n">
        <f aca="false">B12*Hypotheses!D19</f>
        <v>0</v>
      </c>
      <c r="C13" s="12" t="n">
        <f aca="false">C12*Hypotheses!D19</f>
        <v>0</v>
      </c>
      <c r="D13" s="12" t="n">
        <f aca="false">D12*Hypotheses!D19</f>
        <v>0</v>
      </c>
      <c r="E13" s="12" t="n">
        <f aca="false">E12*Hypotheses!D19</f>
        <v>0</v>
      </c>
      <c r="F13" s="12" t="n">
        <f aca="false">F12*Hypotheses!D19</f>
        <v>110</v>
      </c>
      <c r="G13" s="12" t="n">
        <f aca="false">G12*Hypotheses!D19</f>
        <v>145</v>
      </c>
      <c r="H13" s="12" t="n">
        <f aca="false">H12*Hypotheses!D19</f>
        <v>175</v>
      </c>
      <c r="I13" s="12" t="n">
        <f aca="false">I12*Hypotheses!D19</f>
        <v>220</v>
      </c>
      <c r="J13" s="12" t="n">
        <f aca="false">J12*Hypotheses!D19</f>
        <v>265</v>
      </c>
      <c r="K13" s="12" t="n">
        <f aca="false">K12*Hypotheses!D19</f>
        <v>305</v>
      </c>
      <c r="L13" s="12" t="n">
        <f aca="false">L12*Hypotheses!D19</f>
        <v>345</v>
      </c>
      <c r="M13" s="12" t="n">
        <f aca="false">M12*Hypotheses!D19</f>
        <v>385</v>
      </c>
      <c r="N13" s="12" t="n">
        <f aca="false">N12*Hypotheses!D19</f>
        <v>425</v>
      </c>
      <c r="O13" s="12" t="n">
        <f aca="false">O12*Hypotheses!D19</f>
        <v>535</v>
      </c>
      <c r="P13" s="12" t="n">
        <f aca="false">P12*Hypotheses!D19</f>
        <v>645</v>
      </c>
      <c r="Q13" s="12" t="n">
        <f aca="false">Q12*Hypotheses!D19</f>
        <v>750</v>
      </c>
      <c r="R13" s="12" t="n">
        <f aca="false">R12*Hypotheses!D19</f>
        <v>855</v>
      </c>
      <c r="S13" s="12" t="n">
        <f aca="false">S12*Hypotheses!D19</f>
        <v>955</v>
      </c>
      <c r="T13" s="12" t="n">
        <f aca="false">T12*Hypotheses!D19</f>
        <v>1050</v>
      </c>
      <c r="U13" s="12" t="n">
        <f aca="false">U12*Hypotheses!D19</f>
        <v>1145</v>
      </c>
      <c r="V13" s="12" t="n">
        <f aca="false">V12*Hypotheses!D19</f>
        <v>1235</v>
      </c>
      <c r="W13" s="12" t="n">
        <f aca="false">W12*Hypotheses!D19</f>
        <v>1320</v>
      </c>
      <c r="X13" s="12" t="n">
        <f aca="false">X12*Hypotheses!D19</f>
        <v>1405</v>
      </c>
      <c r="Y13" s="12" t="n">
        <f aca="false">Y12*Hypotheses!D19</f>
        <v>1490</v>
      </c>
      <c r="Z13" s="12" t="n">
        <f aca="false">Z12*Hypotheses!D19</f>
        <v>1570</v>
      </c>
      <c r="AA13" s="12" t="n">
        <f aca="false">AA12*Hypotheses!D19</f>
        <v>1750</v>
      </c>
      <c r="AB13" s="12" t="n">
        <f aca="false">AB12*Hypotheses!D19</f>
        <v>1920</v>
      </c>
      <c r="AC13" s="12" t="n">
        <f aca="false">AC12*Hypotheses!D19</f>
        <v>2090</v>
      </c>
      <c r="AD13" s="12" t="n">
        <f aca="false">AD12*Hypotheses!D19</f>
        <v>2250</v>
      </c>
      <c r="AE13" s="12" t="n">
        <f aca="false">AE12*Hypotheses!D19</f>
        <v>2410</v>
      </c>
      <c r="AF13" s="12" t="n">
        <f aca="false">AF12*Hypotheses!D19</f>
        <v>2560</v>
      </c>
      <c r="AG13" s="12" t="n">
        <f aca="false">AG12*Hypotheses!D19</f>
        <v>2710</v>
      </c>
      <c r="AH13" s="12" t="n">
        <f aca="false">AH12*Hypotheses!D19</f>
        <v>2850</v>
      </c>
      <c r="AI13" s="12" t="n">
        <f aca="false">AI12*Hypotheses!D19</f>
        <v>2990</v>
      </c>
      <c r="AJ13" s="12" t="n">
        <f aca="false">AJ12*Hypotheses!D19</f>
        <v>3130</v>
      </c>
      <c r="AK13" s="12" t="n">
        <f aca="false">AK12*Hypotheses!D19</f>
        <v>3260</v>
      </c>
      <c r="AL13" s="12" t="n">
        <f aca="false">AL12*Hypotheses!D19</f>
        <v>3385</v>
      </c>
    </row>
    <row r="15" customFormat="false" ht="15" hidden="false" customHeight="false" outlineLevel="0" collapsed="false">
      <c r="A15" s="10" t="s">
        <v>89</v>
      </c>
      <c r="B15" s="5" t="n">
        <f aca="false">B10*Hypotheses!D6</f>
        <v>0</v>
      </c>
      <c r="C15" s="5" t="n">
        <f aca="false">C10*Hypotheses!D6</f>
        <v>797.5</v>
      </c>
      <c r="D15" s="5" t="n">
        <f aca="false">D10*Hypotheses!D6</f>
        <v>1595</v>
      </c>
      <c r="E15" s="5" t="n">
        <f aca="false">E10*Hypotheses!D6</f>
        <v>2344.16666666667</v>
      </c>
      <c r="F15" s="5" t="n">
        <f aca="false">F10*Hypotheses!D6</f>
        <v>3480</v>
      </c>
      <c r="G15" s="5" t="n">
        <f aca="false">G10*Hypotheses!D6</f>
        <v>4591.66666666667</v>
      </c>
      <c r="H15" s="5" t="n">
        <f aca="false">H10*Hypotheses!D6</f>
        <v>5655</v>
      </c>
      <c r="I15" s="5" t="n">
        <f aca="false">I10*Hypotheses!D6</f>
        <v>7105</v>
      </c>
      <c r="J15" s="5" t="n">
        <f aca="false">J10*Hypotheses!D6</f>
        <v>8506.66666666667</v>
      </c>
      <c r="K15" s="5" t="n">
        <f aca="false">K10*Hypotheses!D6</f>
        <v>9860</v>
      </c>
      <c r="L15" s="5" t="n">
        <f aca="false">L10*Hypotheses!D6</f>
        <v>11165</v>
      </c>
      <c r="M15" s="5" t="n">
        <f aca="false">M10*Hypotheses!D6</f>
        <v>12445.8333333333</v>
      </c>
      <c r="N15" s="5" t="n">
        <f aca="false">N10*Hypotheses!D6</f>
        <v>13678.3333333333</v>
      </c>
      <c r="O15" s="5" t="n">
        <f aca="false">O10*Hypotheses!D6</f>
        <v>17303.3333333333</v>
      </c>
      <c r="P15" s="5" t="n">
        <f aca="false">P10*Hypotheses!D6</f>
        <v>20807.5</v>
      </c>
      <c r="Q15" s="5" t="n">
        <f aca="false">Q10*Hypotheses!D6</f>
        <v>24215</v>
      </c>
      <c r="R15" s="5" t="n">
        <f aca="false">R10*Hypotheses!D6</f>
        <v>27501.6666666667</v>
      </c>
      <c r="S15" s="5" t="n">
        <f aca="false">S10*Hypotheses!D6</f>
        <v>30715.8333333333</v>
      </c>
      <c r="T15" s="5" t="n">
        <f aca="false">T10*Hypotheses!D6</f>
        <v>33833.3333333333</v>
      </c>
      <c r="U15" s="5" t="n">
        <f aca="false">U10*Hypotheses!D6</f>
        <v>36830</v>
      </c>
      <c r="V15" s="5" t="n">
        <f aca="false">V10*Hypotheses!D6</f>
        <v>39754.1666666667</v>
      </c>
      <c r="W15" s="5" t="n">
        <f aca="false">W10*Hypotheses!D6</f>
        <v>42581.6666666667</v>
      </c>
      <c r="X15" s="5" t="n">
        <f aca="false">X10*Hypotheses!D6</f>
        <v>45336.6666666667</v>
      </c>
      <c r="Y15" s="5" t="n">
        <f aca="false">Y10*Hypotheses!D6</f>
        <v>48019.1666666667</v>
      </c>
      <c r="Z15" s="5" t="n">
        <f aca="false">Z10*Hypotheses!D6</f>
        <v>50605</v>
      </c>
      <c r="AA15" s="5" t="n">
        <f aca="false">AA10*Hypotheses!D6</f>
        <v>56332.5</v>
      </c>
      <c r="AB15" s="5" t="n">
        <f aca="false">AB10*Hypotheses!D6</f>
        <v>61890.8333333333</v>
      </c>
      <c r="AC15" s="5" t="n">
        <f aca="false">AC10*Hypotheses!D6</f>
        <v>67280</v>
      </c>
      <c r="AD15" s="5" t="n">
        <f aca="false">AD10*Hypotheses!D6</f>
        <v>72524.1666666667</v>
      </c>
      <c r="AE15" s="5" t="n">
        <f aca="false">AE10*Hypotheses!D6</f>
        <v>77599.1666666667</v>
      </c>
      <c r="AF15" s="5" t="n">
        <f aca="false">AF10*Hypotheses!D6</f>
        <v>82505</v>
      </c>
      <c r="AG15" s="5" t="n">
        <f aca="false">AG10*Hypotheses!D6</f>
        <v>87290</v>
      </c>
      <c r="AH15" s="5" t="n">
        <f aca="false">AH10*Hypotheses!D6</f>
        <v>91905.8333333333</v>
      </c>
      <c r="AI15" s="5" t="n">
        <f aca="false">AI10*Hypotheses!D6</f>
        <v>96400.8333333333</v>
      </c>
      <c r="AJ15" s="5" t="n">
        <f aca="false">AJ10*Hypotheses!D6</f>
        <v>100775</v>
      </c>
      <c r="AK15" s="5" t="n">
        <f aca="false">AK10*Hypotheses!D6</f>
        <v>105004.166666667</v>
      </c>
      <c r="AL15" s="5" t="n">
        <f aca="false">AL10*Hypotheses!D6</f>
        <v>109088.333333333</v>
      </c>
    </row>
    <row r="16" customFormat="false" ht="15" hidden="false" customHeight="false" outlineLevel="0" collapsed="false">
      <c r="A16" s="10" t="s">
        <v>90</v>
      </c>
      <c r="B16" s="5" t="n">
        <f aca="false">B13*Hypotheses!D7</f>
        <v>0</v>
      </c>
      <c r="C16" s="5" t="n">
        <f aca="false">C13*Hypotheses!D7</f>
        <v>0</v>
      </c>
      <c r="D16" s="5" t="n">
        <f aca="false">D13*Hypotheses!D7</f>
        <v>0</v>
      </c>
      <c r="E16" s="5" t="n">
        <f aca="false">E13*Hypotheses!D7</f>
        <v>0</v>
      </c>
      <c r="F16" s="5" t="n">
        <f aca="false">F13*Hypotheses!D7</f>
        <v>1741.66666666667</v>
      </c>
      <c r="G16" s="5" t="n">
        <f aca="false">G13*Hypotheses!D7</f>
        <v>2295.83333333333</v>
      </c>
      <c r="H16" s="5" t="n">
        <f aca="false">H13*Hypotheses!D7</f>
        <v>2770.83333333333</v>
      </c>
      <c r="I16" s="5" t="n">
        <f aca="false">I13*Hypotheses!D7</f>
        <v>3483.33333333333</v>
      </c>
      <c r="J16" s="5" t="n">
        <f aca="false">J13*Hypotheses!D7</f>
        <v>4195.83333333333</v>
      </c>
      <c r="K16" s="5" t="n">
        <f aca="false">K13*Hypotheses!D7</f>
        <v>4829.16666666667</v>
      </c>
      <c r="L16" s="5" t="n">
        <f aca="false">L13*Hypotheses!D7</f>
        <v>5462.5</v>
      </c>
      <c r="M16" s="5" t="n">
        <f aca="false">M13*Hypotheses!D7</f>
        <v>6095.83333333333</v>
      </c>
      <c r="N16" s="5" t="n">
        <f aca="false">N13*Hypotheses!D7</f>
        <v>6729.16666666667</v>
      </c>
      <c r="O16" s="5" t="n">
        <f aca="false">O13*Hypotheses!D7</f>
        <v>8470.83333333333</v>
      </c>
      <c r="P16" s="5" t="n">
        <f aca="false">P13*Hypotheses!D7</f>
        <v>10212.5</v>
      </c>
      <c r="Q16" s="5" t="n">
        <f aca="false">Q13*Hypotheses!D7</f>
        <v>11875</v>
      </c>
      <c r="R16" s="5" t="n">
        <f aca="false">R13*Hypotheses!D7</f>
        <v>13537.5</v>
      </c>
      <c r="S16" s="5" t="n">
        <f aca="false">S13*Hypotheses!D7</f>
        <v>15120.8333333333</v>
      </c>
      <c r="T16" s="5" t="n">
        <f aca="false">T13*Hypotheses!D7</f>
        <v>16625</v>
      </c>
      <c r="U16" s="5" t="n">
        <f aca="false">U13*Hypotheses!D7</f>
        <v>18129.1666666667</v>
      </c>
      <c r="V16" s="5" t="n">
        <f aca="false">V13*Hypotheses!D7</f>
        <v>19554.1666666667</v>
      </c>
      <c r="W16" s="5" t="n">
        <f aca="false">W13*Hypotheses!D7</f>
        <v>20900</v>
      </c>
      <c r="X16" s="5" t="n">
        <f aca="false">X13*Hypotheses!D7</f>
        <v>22245.8333333333</v>
      </c>
      <c r="Y16" s="5" t="n">
        <f aca="false">Y13*Hypotheses!D7</f>
        <v>23591.6666666667</v>
      </c>
      <c r="Z16" s="5" t="n">
        <f aca="false">Z13*Hypotheses!D7</f>
        <v>24858.3333333333</v>
      </c>
      <c r="AA16" s="5" t="n">
        <f aca="false">AA13*Hypotheses!D7</f>
        <v>27708.3333333333</v>
      </c>
      <c r="AB16" s="5" t="n">
        <f aca="false">AB13*Hypotheses!D7</f>
        <v>30400</v>
      </c>
      <c r="AC16" s="5" t="n">
        <f aca="false">AC13*Hypotheses!D7</f>
        <v>33091.6666666667</v>
      </c>
      <c r="AD16" s="5" t="n">
        <f aca="false">AD13*Hypotheses!D7</f>
        <v>35625</v>
      </c>
      <c r="AE16" s="5" t="n">
        <f aca="false">AE13*Hypotheses!D7</f>
        <v>38158.3333333333</v>
      </c>
      <c r="AF16" s="5" t="n">
        <f aca="false">AF13*Hypotheses!D7</f>
        <v>40533.3333333333</v>
      </c>
      <c r="AG16" s="5" t="n">
        <f aca="false">AG13*Hypotheses!D7</f>
        <v>42908.3333333333</v>
      </c>
      <c r="AH16" s="5" t="n">
        <f aca="false">AH13*Hypotheses!D7</f>
        <v>45125</v>
      </c>
      <c r="AI16" s="5" t="n">
        <f aca="false">AI13*Hypotheses!D7</f>
        <v>47341.6666666667</v>
      </c>
      <c r="AJ16" s="5" t="n">
        <f aca="false">AJ13*Hypotheses!D7</f>
        <v>49558.3333333333</v>
      </c>
      <c r="AK16" s="5" t="n">
        <f aca="false">AK13*Hypotheses!D7</f>
        <v>51616.6666666667</v>
      </c>
      <c r="AL16" s="5" t="n">
        <f aca="false">AL13*Hypotheses!D7</f>
        <v>53595.8333333333</v>
      </c>
    </row>
    <row r="17" customFormat="false" ht="15" hidden="false" customHeight="false" outlineLevel="0" collapsed="false">
      <c r="A17" s="14" t="s">
        <v>91</v>
      </c>
      <c r="B17" s="15" t="n">
        <f aca="false">B15+B16</f>
        <v>0</v>
      </c>
      <c r="C17" s="15" t="n">
        <f aca="false">C15+C16</f>
        <v>797.5</v>
      </c>
      <c r="D17" s="15" t="n">
        <f aca="false">D15+D16</f>
        <v>1595</v>
      </c>
      <c r="E17" s="15" t="n">
        <f aca="false">E15+E16</f>
        <v>2344.16666666667</v>
      </c>
      <c r="F17" s="15" t="n">
        <f aca="false">F15+F16</f>
        <v>5221.66666666667</v>
      </c>
      <c r="G17" s="15" t="n">
        <f aca="false">G15+G16</f>
        <v>6887.5</v>
      </c>
      <c r="H17" s="15" t="n">
        <f aca="false">H15+H16</f>
        <v>8425.83333333333</v>
      </c>
      <c r="I17" s="15" t="n">
        <f aca="false">I15+I16</f>
        <v>10588.3333333333</v>
      </c>
      <c r="J17" s="15" t="n">
        <f aca="false">J15+J16</f>
        <v>12702.5</v>
      </c>
      <c r="K17" s="15" t="n">
        <f aca="false">K15+K16</f>
        <v>14689.1666666667</v>
      </c>
      <c r="L17" s="15" t="n">
        <f aca="false">L15+L16</f>
        <v>16627.5</v>
      </c>
      <c r="M17" s="15" t="n">
        <f aca="false">M15+M16</f>
        <v>18541.6666666667</v>
      </c>
      <c r="N17" s="15" t="n">
        <f aca="false">N15+N16</f>
        <v>20407.5</v>
      </c>
      <c r="O17" s="15" t="n">
        <f aca="false">O15+O16</f>
        <v>25774.1666666667</v>
      </c>
      <c r="P17" s="15" t="n">
        <f aca="false">P15+P16</f>
        <v>31020</v>
      </c>
      <c r="Q17" s="15" t="n">
        <f aca="false">Q15+Q16</f>
        <v>36090</v>
      </c>
      <c r="R17" s="15" t="n">
        <f aca="false">R15+R16</f>
        <v>41039.1666666667</v>
      </c>
      <c r="S17" s="15" t="n">
        <f aca="false">S15+S16</f>
        <v>45836.6666666667</v>
      </c>
      <c r="T17" s="15" t="n">
        <f aca="false">T15+T16</f>
        <v>50458.3333333333</v>
      </c>
      <c r="U17" s="15" t="n">
        <f aca="false">U15+U16</f>
        <v>54959.1666666667</v>
      </c>
      <c r="V17" s="15" t="n">
        <f aca="false">V15+V16</f>
        <v>59308.3333333333</v>
      </c>
      <c r="W17" s="15" t="n">
        <f aca="false">W15+W16</f>
        <v>63481.6666666667</v>
      </c>
      <c r="X17" s="15" t="n">
        <f aca="false">X15+X16</f>
        <v>67582.5</v>
      </c>
      <c r="Y17" s="15" t="n">
        <f aca="false">Y15+Y16</f>
        <v>71610.8333333333</v>
      </c>
      <c r="Z17" s="15" t="n">
        <f aca="false">Z15+Z16</f>
        <v>75463.3333333333</v>
      </c>
      <c r="AA17" s="15" t="n">
        <f aca="false">AA15+AA16</f>
        <v>84040.8333333333</v>
      </c>
      <c r="AB17" s="15" t="n">
        <f aca="false">AB15+AB16</f>
        <v>92290.8333333333</v>
      </c>
      <c r="AC17" s="15" t="n">
        <f aca="false">AC15+AC16</f>
        <v>100371.666666667</v>
      </c>
      <c r="AD17" s="15" t="n">
        <f aca="false">AD15+AD16</f>
        <v>108149.166666667</v>
      </c>
      <c r="AE17" s="15" t="n">
        <f aca="false">AE15+AE16</f>
        <v>115757.5</v>
      </c>
      <c r="AF17" s="15" t="n">
        <f aca="false">AF15+AF16</f>
        <v>123038.333333333</v>
      </c>
      <c r="AG17" s="15" t="n">
        <f aca="false">AG15+AG16</f>
        <v>130198.333333333</v>
      </c>
      <c r="AH17" s="15" t="n">
        <f aca="false">AH15+AH16</f>
        <v>137030.833333333</v>
      </c>
      <c r="AI17" s="15" t="n">
        <f aca="false">AI15+AI16</f>
        <v>143742.5</v>
      </c>
      <c r="AJ17" s="15" t="n">
        <f aca="false">AJ15+AJ16</f>
        <v>150333.333333333</v>
      </c>
      <c r="AK17" s="15" t="n">
        <f aca="false">AK15+AK16</f>
        <v>156620.833333333</v>
      </c>
      <c r="AL17" s="15" t="n">
        <f aca="false">AL15+AL16</f>
        <v>162684.166666667</v>
      </c>
    </row>
    <row r="18" customFormat="false" ht="15" hidden="false" customHeight="false" outlineLevel="0" collapsed="false">
      <c r="A18" s="10" t="s">
        <v>92</v>
      </c>
      <c r="B18" s="5" t="n">
        <f aca="false">B17*12</f>
        <v>0</v>
      </c>
      <c r="C18" s="5" t="n">
        <f aca="false">C17*12</f>
        <v>9570</v>
      </c>
      <c r="D18" s="5" t="n">
        <f aca="false">D17*12</f>
        <v>19140</v>
      </c>
      <c r="E18" s="5" t="n">
        <f aca="false">E17*12</f>
        <v>28130</v>
      </c>
      <c r="F18" s="5" t="n">
        <f aca="false">F17*12</f>
        <v>62660</v>
      </c>
      <c r="G18" s="5" t="n">
        <f aca="false">G17*12</f>
        <v>82650</v>
      </c>
      <c r="H18" s="5" t="n">
        <f aca="false">H17*12</f>
        <v>101110</v>
      </c>
      <c r="I18" s="5" t="n">
        <f aca="false">I17*12</f>
        <v>127060</v>
      </c>
      <c r="J18" s="5" t="n">
        <f aca="false">J17*12</f>
        <v>152430</v>
      </c>
      <c r="K18" s="5" t="n">
        <f aca="false">K17*12</f>
        <v>176270</v>
      </c>
      <c r="L18" s="5" t="n">
        <f aca="false">L17*12</f>
        <v>199530</v>
      </c>
      <c r="M18" s="5" t="n">
        <f aca="false">M17*12</f>
        <v>222500</v>
      </c>
      <c r="N18" s="5" t="n">
        <f aca="false">N17*12</f>
        <v>244890</v>
      </c>
      <c r="O18" s="5" t="n">
        <f aca="false">O17*12</f>
        <v>309290</v>
      </c>
      <c r="P18" s="5" t="n">
        <f aca="false">P17*12</f>
        <v>372240</v>
      </c>
      <c r="Q18" s="5" t="n">
        <f aca="false">Q17*12</f>
        <v>433080</v>
      </c>
      <c r="R18" s="5" t="n">
        <f aca="false">R17*12</f>
        <v>492470</v>
      </c>
      <c r="S18" s="5" t="n">
        <f aca="false">S17*12</f>
        <v>550040</v>
      </c>
      <c r="T18" s="5" t="n">
        <f aca="false">T17*12</f>
        <v>605500</v>
      </c>
      <c r="U18" s="5" t="n">
        <f aca="false">U17*12</f>
        <v>659510</v>
      </c>
      <c r="V18" s="5" t="n">
        <f aca="false">V17*12</f>
        <v>711700</v>
      </c>
      <c r="W18" s="5" t="n">
        <f aca="false">W17*12</f>
        <v>761780</v>
      </c>
      <c r="X18" s="5" t="n">
        <f aca="false">X17*12</f>
        <v>810990</v>
      </c>
      <c r="Y18" s="5" t="n">
        <f aca="false">Y17*12</f>
        <v>859330</v>
      </c>
      <c r="Z18" s="5" t="n">
        <f aca="false">Z17*12</f>
        <v>905560</v>
      </c>
      <c r="AA18" s="5" t="n">
        <f aca="false">AA17*12</f>
        <v>1008490</v>
      </c>
      <c r="AB18" s="5" t="n">
        <f aca="false">AB17*12</f>
        <v>1107490</v>
      </c>
      <c r="AC18" s="5" t="n">
        <f aca="false">AC17*12</f>
        <v>1204460</v>
      </c>
      <c r="AD18" s="5" t="n">
        <f aca="false">AD17*12</f>
        <v>1297790</v>
      </c>
      <c r="AE18" s="5" t="n">
        <f aca="false">AE17*12</f>
        <v>1389090</v>
      </c>
      <c r="AF18" s="5" t="n">
        <f aca="false">AF17*12</f>
        <v>1476460</v>
      </c>
      <c r="AG18" s="5" t="n">
        <f aca="false">AG17*12</f>
        <v>1562380</v>
      </c>
      <c r="AH18" s="5" t="n">
        <f aca="false">AH17*12</f>
        <v>1644370</v>
      </c>
      <c r="AI18" s="5" t="n">
        <f aca="false">AI17*12</f>
        <v>1724910</v>
      </c>
      <c r="AJ18" s="5" t="n">
        <f aca="false">AJ17*12</f>
        <v>1804000</v>
      </c>
      <c r="AK18" s="5" t="n">
        <f aca="false">AK17*12</f>
        <v>1879450</v>
      </c>
      <c r="AL18" s="5" t="n">
        <f aca="false">AL17*12</f>
        <v>1952210</v>
      </c>
    </row>
    <row r="20" customFormat="false" ht="15" hidden="false" customHeight="false" outlineLevel="0" collapsed="false">
      <c r="A20" s="10" t="s">
        <v>93</v>
      </c>
      <c r="B20" s="16" t="n">
        <f aca="false">-B10*Hypotheses!D22</f>
        <v>-0</v>
      </c>
      <c r="C20" s="16" t="n">
        <f aca="false">-C10*Hypotheses!D22</f>
        <v>-9.9</v>
      </c>
      <c r="D20" s="16" t="n">
        <f aca="false">-D10*Hypotheses!D22</f>
        <v>-19.8</v>
      </c>
      <c r="E20" s="16" t="n">
        <f aca="false">-E10*Hypotheses!D22</f>
        <v>-29.1</v>
      </c>
      <c r="F20" s="16" t="n">
        <f aca="false">-F10*Hypotheses!D22</f>
        <v>-43.2</v>
      </c>
      <c r="G20" s="16" t="n">
        <f aca="false">-G10*Hypotheses!D22</f>
        <v>-57</v>
      </c>
      <c r="H20" s="16" t="n">
        <f aca="false">-H10*Hypotheses!D22</f>
        <v>-70.2</v>
      </c>
      <c r="I20" s="16" t="n">
        <f aca="false">-I10*Hypotheses!D22</f>
        <v>-88.2</v>
      </c>
      <c r="J20" s="16" t="n">
        <f aca="false">-J10*Hypotheses!D22</f>
        <v>-105.6</v>
      </c>
      <c r="K20" s="16" t="n">
        <f aca="false">-K10*Hypotheses!D22</f>
        <v>-122.4</v>
      </c>
      <c r="L20" s="16" t="n">
        <f aca="false">-L10*Hypotheses!D22</f>
        <v>-138.6</v>
      </c>
      <c r="M20" s="16" t="n">
        <f aca="false">-M10*Hypotheses!D22</f>
        <v>-154.5</v>
      </c>
      <c r="N20" s="16" t="n">
        <f aca="false">-N10*Hypotheses!D22</f>
        <v>-169.8</v>
      </c>
      <c r="O20" s="16" t="n">
        <f aca="false">-O10*Hypotheses!D22</f>
        <v>-214.8</v>
      </c>
      <c r="P20" s="16" t="n">
        <f aca="false">-P10*Hypotheses!D22</f>
        <v>-258.3</v>
      </c>
      <c r="Q20" s="16" t="n">
        <f aca="false">-Q10*Hypotheses!D22</f>
        <v>-300.6</v>
      </c>
      <c r="R20" s="16" t="n">
        <f aca="false">-R10*Hypotheses!D22</f>
        <v>-341.4</v>
      </c>
      <c r="S20" s="16" t="n">
        <f aca="false">-S10*Hypotheses!D22</f>
        <v>-381.3</v>
      </c>
      <c r="T20" s="16" t="n">
        <f aca="false">-T10*Hypotheses!D22</f>
        <v>-420</v>
      </c>
      <c r="U20" s="16" t="n">
        <f aca="false">-U10*Hypotheses!D22</f>
        <v>-457.2</v>
      </c>
      <c r="V20" s="16" t="n">
        <f aca="false">-V10*Hypotheses!D22</f>
        <v>-493.5</v>
      </c>
      <c r="W20" s="16" t="n">
        <f aca="false">-W10*Hypotheses!D22</f>
        <v>-528.6</v>
      </c>
      <c r="X20" s="16" t="n">
        <f aca="false">-X10*Hypotheses!D22</f>
        <v>-562.8</v>
      </c>
      <c r="Y20" s="16" t="n">
        <f aca="false">-Y10*Hypotheses!D22</f>
        <v>-596.1</v>
      </c>
      <c r="Z20" s="16" t="n">
        <f aca="false">-Z10*Hypotheses!D22</f>
        <v>-628.2</v>
      </c>
      <c r="AA20" s="16" t="n">
        <f aca="false">-AA10*Hypotheses!D22</f>
        <v>-699.3</v>
      </c>
      <c r="AB20" s="16" t="n">
        <f aca="false">-AB10*Hypotheses!D22</f>
        <v>-768.3</v>
      </c>
      <c r="AC20" s="16" t="n">
        <f aca="false">-AC10*Hypotheses!D22</f>
        <v>-835.2</v>
      </c>
      <c r="AD20" s="16" t="n">
        <f aca="false">-AD10*Hypotheses!D22</f>
        <v>-900.3</v>
      </c>
      <c r="AE20" s="16" t="n">
        <f aca="false">-AE10*Hypotheses!D22</f>
        <v>-963.3</v>
      </c>
      <c r="AF20" s="16" t="n">
        <f aca="false">-AF10*Hypotheses!D22</f>
        <v>-1024.2</v>
      </c>
      <c r="AG20" s="16" t="n">
        <f aca="false">-AG10*Hypotheses!D22</f>
        <v>-1083.6</v>
      </c>
      <c r="AH20" s="16" t="n">
        <f aca="false">-AH10*Hypotheses!D22</f>
        <v>-1140.9</v>
      </c>
      <c r="AI20" s="16" t="n">
        <f aca="false">-AI10*Hypotheses!D22</f>
        <v>-1196.7</v>
      </c>
      <c r="AJ20" s="16" t="n">
        <f aca="false">-AJ10*Hypotheses!D22</f>
        <v>-1251</v>
      </c>
      <c r="AK20" s="16" t="n">
        <f aca="false">-AK10*Hypotheses!D22</f>
        <v>-1303.5</v>
      </c>
      <c r="AL20" s="16" t="n">
        <f aca="false">-AL10*Hypotheses!D22</f>
        <v>-1354.2</v>
      </c>
    </row>
    <row r="21" customFormat="false" ht="15" hidden="false" customHeight="false" outlineLevel="0" collapsed="false">
      <c r="A21" s="10" t="s">
        <v>94</v>
      </c>
      <c r="B21" s="16" t="n">
        <f aca="false">-B6*Hypotheses!D24*Hypotheses!D23</f>
        <v>-0</v>
      </c>
      <c r="C21" s="16" t="n">
        <f aca="false">-C6*Hypotheses!D24*Hypotheses!D23</f>
        <v>-80</v>
      </c>
      <c r="D21" s="16" t="n">
        <f aca="false">-D6*Hypotheses!D24*Hypotheses!D23</f>
        <v>-160</v>
      </c>
      <c r="E21" s="16" t="n">
        <f aca="false">-E6*Hypotheses!D24*Hypotheses!D23</f>
        <v>-240</v>
      </c>
      <c r="F21" s="16" t="n">
        <f aca="false">-F6*Hypotheses!D24*Hypotheses!D23</f>
        <v>-360</v>
      </c>
      <c r="G21" s="16" t="n">
        <f aca="false">-G6*Hypotheses!D24*Hypotheses!D23</f>
        <v>-480</v>
      </c>
      <c r="H21" s="16" t="n">
        <f aca="false">-H6*Hypotheses!D24*Hypotheses!D23</f>
        <v>-600</v>
      </c>
      <c r="I21" s="16" t="n">
        <f aca="false">-I6*Hypotheses!D24*Hypotheses!D23</f>
        <v>-760</v>
      </c>
      <c r="J21" s="16" t="n">
        <f aca="false">-J6*Hypotheses!D24*Hypotheses!D23</f>
        <v>-920</v>
      </c>
      <c r="K21" s="16" t="n">
        <f aca="false">-K6*Hypotheses!D24*Hypotheses!D23</f>
        <v>-1080</v>
      </c>
      <c r="L21" s="16" t="n">
        <f aca="false">-L6*Hypotheses!D24*Hypotheses!D23</f>
        <v>-1240</v>
      </c>
      <c r="M21" s="16" t="n">
        <f aca="false">-M6*Hypotheses!D24*Hypotheses!D23</f>
        <v>-1400</v>
      </c>
      <c r="N21" s="16" t="n">
        <f aca="false">-N6*Hypotheses!D24*Hypotheses!D23</f>
        <v>-1560</v>
      </c>
      <c r="O21" s="16" t="n">
        <f aca="false">-O6*Hypotheses!D24*Hypotheses!D23</f>
        <v>-1960</v>
      </c>
      <c r="P21" s="16" t="n">
        <f aca="false">-P6*Hypotheses!D24*Hypotheses!D23</f>
        <v>-2360</v>
      </c>
      <c r="Q21" s="16" t="n">
        <f aca="false">-Q6*Hypotheses!D24*Hypotheses!D23</f>
        <v>-2760</v>
      </c>
      <c r="R21" s="16" t="n">
        <f aca="false">-R6*Hypotheses!D24*Hypotheses!D23</f>
        <v>-3160</v>
      </c>
      <c r="S21" s="16" t="n">
        <f aca="false">-S6*Hypotheses!D24*Hypotheses!D23</f>
        <v>-3560</v>
      </c>
      <c r="T21" s="16" t="n">
        <f aca="false">-T6*Hypotheses!D24*Hypotheses!D23</f>
        <v>-3960</v>
      </c>
      <c r="U21" s="16" t="n">
        <f aca="false">-U6*Hypotheses!D24*Hypotheses!D23</f>
        <v>-4360</v>
      </c>
      <c r="V21" s="16" t="n">
        <f aca="false">-V6*Hypotheses!D24*Hypotheses!D23</f>
        <v>-4760</v>
      </c>
      <c r="W21" s="16" t="n">
        <f aca="false">-W6*Hypotheses!D24*Hypotheses!D23</f>
        <v>-5160</v>
      </c>
      <c r="X21" s="16" t="n">
        <f aca="false">-X6*Hypotheses!D24*Hypotheses!D23</f>
        <v>-5560</v>
      </c>
      <c r="Y21" s="16" t="n">
        <f aca="false">-Y6*Hypotheses!D24*Hypotheses!D23</f>
        <v>-5960</v>
      </c>
      <c r="Z21" s="16" t="n">
        <f aca="false">-Z6*Hypotheses!D24*Hypotheses!D23</f>
        <v>-6360</v>
      </c>
      <c r="AA21" s="16" t="n">
        <f aca="false">-AA6*Hypotheses!D24*Hypotheses!D23</f>
        <v>-7080</v>
      </c>
      <c r="AB21" s="16" t="n">
        <f aca="false">-AB6*Hypotheses!D24*Hypotheses!D23</f>
        <v>-7800</v>
      </c>
      <c r="AC21" s="16" t="n">
        <f aca="false">-AC6*Hypotheses!D24*Hypotheses!D23</f>
        <v>-8520</v>
      </c>
      <c r="AD21" s="16" t="n">
        <f aca="false">-AD6*Hypotheses!D24*Hypotheses!D23</f>
        <v>-9240</v>
      </c>
      <c r="AE21" s="16" t="n">
        <f aca="false">-AE6*Hypotheses!D24*Hypotheses!D23</f>
        <v>-9960</v>
      </c>
      <c r="AF21" s="16" t="n">
        <f aca="false">-AF6*Hypotheses!D24*Hypotheses!D23</f>
        <v>-10680</v>
      </c>
      <c r="AG21" s="16" t="n">
        <f aca="false">-AG6*Hypotheses!D24*Hypotheses!D23</f>
        <v>-11400</v>
      </c>
      <c r="AH21" s="16" t="n">
        <f aca="false">-AH6*Hypotheses!D24*Hypotheses!D23</f>
        <v>-12120</v>
      </c>
      <c r="AI21" s="16" t="n">
        <f aca="false">-AI6*Hypotheses!D24*Hypotheses!D23</f>
        <v>-12840</v>
      </c>
      <c r="AJ21" s="16" t="n">
        <f aca="false">-AJ6*Hypotheses!D24*Hypotheses!D23</f>
        <v>-13560</v>
      </c>
      <c r="AK21" s="16" t="n">
        <f aca="false">-AK6*Hypotheses!D24*Hypotheses!D23</f>
        <v>-14280</v>
      </c>
      <c r="AL21" s="16" t="n">
        <f aca="false">-AL6*Hypotheses!D24*Hypotheses!D23</f>
        <v>-15000</v>
      </c>
    </row>
    <row r="22" customFormat="false" ht="15" hidden="false" customHeight="false" outlineLevel="0" collapsed="false">
      <c r="A22" s="10" t="s">
        <v>95</v>
      </c>
      <c r="B22" s="16" t="n">
        <f aca="false">-B17*Hypotheses!D25</f>
        <v>-0</v>
      </c>
      <c r="C22" s="16" t="n">
        <f aca="false">-C17*Hypotheses!D25</f>
        <v>-17.545</v>
      </c>
      <c r="D22" s="16" t="n">
        <f aca="false">-D17*Hypotheses!D25</f>
        <v>-35.09</v>
      </c>
      <c r="E22" s="16" t="n">
        <f aca="false">-E17*Hypotheses!D25</f>
        <v>-51.5716666666667</v>
      </c>
      <c r="F22" s="16" t="n">
        <f aca="false">-F17*Hypotheses!D25</f>
        <v>-114.876666666667</v>
      </c>
      <c r="G22" s="16" t="n">
        <f aca="false">-G17*Hypotheses!D25</f>
        <v>-151.525</v>
      </c>
      <c r="H22" s="16" t="n">
        <f aca="false">-H17*Hypotheses!D25</f>
        <v>-185.368333333333</v>
      </c>
      <c r="I22" s="16" t="n">
        <f aca="false">-I17*Hypotheses!D25</f>
        <v>-232.943333333333</v>
      </c>
      <c r="J22" s="16" t="n">
        <f aca="false">-J17*Hypotheses!D25</f>
        <v>-279.455</v>
      </c>
      <c r="K22" s="16" t="n">
        <f aca="false">-K17*Hypotheses!D25</f>
        <v>-323.161666666667</v>
      </c>
      <c r="L22" s="16" t="n">
        <f aca="false">-L17*Hypotheses!D25</f>
        <v>-365.805</v>
      </c>
      <c r="M22" s="16" t="n">
        <f aca="false">-M17*Hypotheses!D25</f>
        <v>-407.916666666667</v>
      </c>
      <c r="N22" s="16" t="n">
        <f aca="false">-N17*Hypotheses!D25</f>
        <v>-448.965</v>
      </c>
      <c r="O22" s="16" t="n">
        <f aca="false">-O17*Hypotheses!D25</f>
        <v>-567.031666666667</v>
      </c>
      <c r="P22" s="16" t="n">
        <f aca="false">-P17*Hypotheses!D25</f>
        <v>-682.44</v>
      </c>
      <c r="Q22" s="16" t="n">
        <f aca="false">-Q17*Hypotheses!D25</f>
        <v>-793.98</v>
      </c>
      <c r="R22" s="16" t="n">
        <f aca="false">-R17*Hypotheses!D25</f>
        <v>-902.861666666667</v>
      </c>
      <c r="S22" s="16" t="n">
        <f aca="false">-S17*Hypotheses!D25</f>
        <v>-1008.40666666667</v>
      </c>
      <c r="T22" s="16" t="n">
        <f aca="false">-T17*Hypotheses!D25</f>
        <v>-1110.08333333333</v>
      </c>
      <c r="U22" s="16" t="n">
        <f aca="false">-U17*Hypotheses!D25</f>
        <v>-1209.10166666667</v>
      </c>
      <c r="V22" s="16" t="n">
        <f aca="false">-V17*Hypotheses!D25</f>
        <v>-1304.78333333333</v>
      </c>
      <c r="W22" s="16" t="n">
        <f aca="false">-W17*Hypotheses!D25</f>
        <v>-1396.59666666667</v>
      </c>
      <c r="X22" s="16" t="n">
        <f aca="false">-X17*Hypotheses!D25</f>
        <v>-1486.815</v>
      </c>
      <c r="Y22" s="16" t="n">
        <f aca="false">-Y17*Hypotheses!D25</f>
        <v>-1575.43833333333</v>
      </c>
      <c r="Z22" s="16" t="n">
        <f aca="false">-Z17*Hypotheses!D25</f>
        <v>-1660.19333333333</v>
      </c>
      <c r="AA22" s="16" t="n">
        <f aca="false">-AA17*Hypotheses!D25</f>
        <v>-1848.89833333333</v>
      </c>
      <c r="AB22" s="16" t="n">
        <f aca="false">-AB17*Hypotheses!D25</f>
        <v>-2030.39833333333</v>
      </c>
      <c r="AC22" s="16" t="n">
        <f aca="false">-AC17*Hypotheses!D25</f>
        <v>-2208.17666666667</v>
      </c>
      <c r="AD22" s="16" t="n">
        <f aca="false">-AD17*Hypotheses!D25</f>
        <v>-2379.28166666667</v>
      </c>
      <c r="AE22" s="16" t="n">
        <f aca="false">-AE17*Hypotheses!D25</f>
        <v>-2546.665</v>
      </c>
      <c r="AF22" s="16" t="n">
        <f aca="false">-AF17*Hypotheses!D25</f>
        <v>-2706.84333333333</v>
      </c>
      <c r="AG22" s="16" t="n">
        <f aca="false">-AG17*Hypotheses!D25</f>
        <v>-2864.36333333333</v>
      </c>
      <c r="AH22" s="16" t="n">
        <f aca="false">-AH17*Hypotheses!D25</f>
        <v>-3014.67833333333</v>
      </c>
      <c r="AI22" s="16" t="n">
        <f aca="false">-AI17*Hypotheses!D25</f>
        <v>-3162.335</v>
      </c>
      <c r="AJ22" s="16" t="n">
        <f aca="false">-AJ17*Hypotheses!D25</f>
        <v>-3307.33333333333</v>
      </c>
      <c r="AK22" s="16" t="n">
        <f aca="false">-AK17*Hypotheses!D25</f>
        <v>-3445.65833333333</v>
      </c>
      <c r="AL22" s="16" t="n">
        <f aca="false">-AL17*Hypotheses!D25</f>
        <v>-3579.05166666667</v>
      </c>
    </row>
    <row r="23" customFormat="false" ht="15" hidden="false" customHeight="false" outlineLevel="0" collapsed="false">
      <c r="A23" s="14" t="s">
        <v>96</v>
      </c>
      <c r="B23" s="17" t="n">
        <f aca="false">B17+B20+B21+B22</f>
        <v>0</v>
      </c>
      <c r="C23" s="17" t="n">
        <f aca="false">C17+C20+C21+C22</f>
        <v>690.055</v>
      </c>
      <c r="D23" s="17" t="n">
        <f aca="false">D17+D20+D21+D22</f>
        <v>1380.11</v>
      </c>
      <c r="E23" s="17" t="n">
        <f aca="false">E17+E20+E21+E22</f>
        <v>2023.495</v>
      </c>
      <c r="F23" s="17" t="n">
        <f aca="false">F17+F20+F21+F22</f>
        <v>4703.59</v>
      </c>
      <c r="G23" s="17" t="n">
        <f aca="false">G17+G20+G21+G22</f>
        <v>6198.975</v>
      </c>
      <c r="H23" s="17" t="n">
        <f aca="false">H17+H20+H21+H22</f>
        <v>7570.265</v>
      </c>
      <c r="I23" s="17" t="n">
        <f aca="false">I17+I20+I21+I22</f>
        <v>9507.19</v>
      </c>
      <c r="J23" s="17" t="n">
        <f aca="false">J17+J20+J21+J22</f>
        <v>11397.445</v>
      </c>
      <c r="K23" s="17" t="n">
        <f aca="false">K17+K20+K21+K22</f>
        <v>13163.605</v>
      </c>
      <c r="L23" s="17" t="n">
        <f aca="false">L17+L20+L21+L22</f>
        <v>14883.095</v>
      </c>
      <c r="M23" s="17" t="n">
        <f aca="false">M17+M20+M21+M22</f>
        <v>16579.25</v>
      </c>
      <c r="N23" s="17" t="n">
        <f aca="false">N17+N20+N21+N22</f>
        <v>18228.735</v>
      </c>
      <c r="O23" s="17" t="n">
        <f aca="false">O17+O20+O21+O22</f>
        <v>23032.335</v>
      </c>
      <c r="P23" s="17" t="n">
        <f aca="false">P17+P20+P21+P22</f>
        <v>27719.26</v>
      </c>
      <c r="Q23" s="17" t="n">
        <f aca="false">Q17+Q20+Q21+Q22</f>
        <v>32235.42</v>
      </c>
      <c r="R23" s="17" t="n">
        <f aca="false">R17+R20+R21+R22</f>
        <v>36634.905</v>
      </c>
      <c r="S23" s="17" t="n">
        <f aca="false">S17+S20+S21+S22</f>
        <v>40886.96</v>
      </c>
      <c r="T23" s="17" t="n">
        <f aca="false">T17+T20+T21+T22</f>
        <v>44968.25</v>
      </c>
      <c r="U23" s="17" t="n">
        <f aca="false">U17+U20+U21+U22</f>
        <v>48932.865</v>
      </c>
      <c r="V23" s="17" t="n">
        <f aca="false">V17+V20+V21+V22</f>
        <v>52750.05</v>
      </c>
      <c r="W23" s="17" t="n">
        <f aca="false">W17+W20+W21+W22</f>
        <v>56396.47</v>
      </c>
      <c r="X23" s="17" t="n">
        <f aca="false">X17+X20+X21+X22</f>
        <v>59972.885</v>
      </c>
      <c r="Y23" s="17" t="n">
        <f aca="false">Y17+Y20+Y21+Y22</f>
        <v>63479.295</v>
      </c>
      <c r="Z23" s="17" t="n">
        <f aca="false">Z17+Z20+Z21+Z22</f>
        <v>66814.94</v>
      </c>
      <c r="AA23" s="17" t="n">
        <f aca="false">AA17+AA20+AA21+AA22</f>
        <v>74412.635</v>
      </c>
      <c r="AB23" s="17" t="n">
        <f aca="false">AB17+AB20+AB21+AB22</f>
        <v>81692.135</v>
      </c>
      <c r="AC23" s="17" t="n">
        <f aca="false">AC17+AC20+AC21+AC22</f>
        <v>88808.29</v>
      </c>
      <c r="AD23" s="17" t="n">
        <f aca="false">AD17+AD20+AD21+AD22</f>
        <v>95629.585</v>
      </c>
      <c r="AE23" s="17" t="n">
        <f aca="false">AE17+AE20+AE21+AE22</f>
        <v>102287.535</v>
      </c>
      <c r="AF23" s="17" t="n">
        <f aca="false">AF17+AF20+AF21+AF22</f>
        <v>108627.29</v>
      </c>
      <c r="AG23" s="17" t="n">
        <f aca="false">AG17+AG20+AG21+AG22</f>
        <v>114850.37</v>
      </c>
      <c r="AH23" s="17" t="n">
        <f aca="false">AH17+AH20+AH21+AH22</f>
        <v>120755.255</v>
      </c>
      <c r="AI23" s="17" t="n">
        <f aca="false">AI17+AI20+AI21+AI22</f>
        <v>126543.465</v>
      </c>
      <c r="AJ23" s="17" t="n">
        <f aca="false">AJ17+AJ20+AJ21+AJ22</f>
        <v>132215</v>
      </c>
      <c r="AK23" s="17" t="n">
        <f aca="false">AK17+AK20+AK21+AK22</f>
        <v>137591.675</v>
      </c>
      <c r="AL23" s="17" t="n">
        <f aca="false">AL17+AL20+AL21+AL22</f>
        <v>142750.915</v>
      </c>
    </row>
    <row r="25" customFormat="false" ht="15" hidden="false" customHeight="false" outlineLevel="0" collapsed="false">
      <c r="A25" s="10" t="s">
        <v>97</v>
      </c>
      <c r="B25" s="16" t="n">
        <f aca="false">-(Hypotheses!D28+Hypotheses!D31)</f>
        <v>-220</v>
      </c>
      <c r="C25" s="16" t="n">
        <f aca="false">-(Hypotheses!D28+Hypotheses!D31)</f>
        <v>-220</v>
      </c>
      <c r="D25" s="16" t="n">
        <f aca="false">-(Hypotheses!D28+Hypotheses!D31)</f>
        <v>-220</v>
      </c>
      <c r="E25" s="16" t="n">
        <f aca="false">-(Hypotheses!D28+Hypotheses!D31)</f>
        <v>-220</v>
      </c>
      <c r="F25" s="16" t="n">
        <f aca="false">-(Hypotheses!D28+Hypotheses!D31)</f>
        <v>-220</v>
      </c>
      <c r="G25" s="16" t="n">
        <f aca="false">-(Hypotheses!D28+Hypotheses!D31)</f>
        <v>-220</v>
      </c>
      <c r="H25" s="16" t="n">
        <f aca="false">-(Hypotheses!D28+Hypotheses!D31)</f>
        <v>-220</v>
      </c>
      <c r="I25" s="16" t="n">
        <f aca="false">-(Hypotheses!D29+Hypotheses!D31)</f>
        <v>-350</v>
      </c>
      <c r="J25" s="16" t="n">
        <f aca="false">-(Hypotheses!D29+Hypotheses!D31)</f>
        <v>-350</v>
      </c>
      <c r="K25" s="16" t="n">
        <f aca="false">-(Hypotheses!D29+Hypotheses!D31)</f>
        <v>-350</v>
      </c>
      <c r="L25" s="16" t="n">
        <f aca="false">-(Hypotheses!D29+Hypotheses!D31)</f>
        <v>-350</v>
      </c>
      <c r="M25" s="16" t="n">
        <f aca="false">-(Hypotheses!D29+Hypotheses!D31)</f>
        <v>-350</v>
      </c>
      <c r="N25" s="16" t="n">
        <f aca="false">-(Hypotheses!D29+Hypotheses!D31)</f>
        <v>-350</v>
      </c>
      <c r="O25" s="16" t="n">
        <f aca="false">-(Hypotheses!D29+Hypotheses!D31)</f>
        <v>-350</v>
      </c>
      <c r="P25" s="16" t="n">
        <f aca="false">-(Hypotheses!D29+Hypotheses!D31)</f>
        <v>-350</v>
      </c>
      <c r="Q25" s="16" t="n">
        <f aca="false">-(Hypotheses!D29+Hypotheses!D31)</f>
        <v>-350</v>
      </c>
      <c r="R25" s="16" t="n">
        <f aca="false">-(Hypotheses!D29+Hypotheses!D31)</f>
        <v>-350</v>
      </c>
      <c r="S25" s="16" t="n">
        <f aca="false">-(Hypotheses!D29+Hypotheses!D31)</f>
        <v>-350</v>
      </c>
      <c r="T25" s="16" t="n">
        <f aca="false">-(Hypotheses!D29+Hypotheses!D31)</f>
        <v>-350</v>
      </c>
      <c r="U25" s="16" t="n">
        <f aca="false">-(Hypotheses!D30+Hypotheses!D31)</f>
        <v>-750</v>
      </c>
      <c r="V25" s="16" t="n">
        <f aca="false">-(Hypotheses!D30+Hypotheses!D31)</f>
        <v>-750</v>
      </c>
      <c r="W25" s="16" t="n">
        <f aca="false">-(Hypotheses!D30+Hypotheses!D31)</f>
        <v>-750</v>
      </c>
      <c r="X25" s="16" t="n">
        <f aca="false">-(Hypotheses!D30+Hypotheses!D31)</f>
        <v>-750</v>
      </c>
      <c r="Y25" s="16" t="n">
        <f aca="false">-(Hypotheses!D30+Hypotheses!D31)</f>
        <v>-750</v>
      </c>
      <c r="Z25" s="16" t="n">
        <f aca="false">-(Hypotheses!D30+Hypotheses!D31)</f>
        <v>-750</v>
      </c>
      <c r="AA25" s="16" t="n">
        <f aca="false">-(Hypotheses!D30+Hypotheses!D31)</f>
        <v>-750</v>
      </c>
      <c r="AB25" s="16" t="n">
        <f aca="false">-(Hypotheses!D30+Hypotheses!D31)</f>
        <v>-750</v>
      </c>
      <c r="AC25" s="16" t="n">
        <f aca="false">-(Hypotheses!D30+Hypotheses!D31)</f>
        <v>-750</v>
      </c>
      <c r="AD25" s="16" t="n">
        <f aca="false">-(Hypotheses!D30+Hypotheses!D31)</f>
        <v>-750</v>
      </c>
      <c r="AE25" s="16" t="n">
        <f aca="false">-(Hypotheses!D30+Hypotheses!D31)</f>
        <v>-750</v>
      </c>
      <c r="AF25" s="16" t="n">
        <f aca="false">-(Hypotheses!D30+Hypotheses!D31)</f>
        <v>-750</v>
      </c>
      <c r="AG25" s="16" t="n">
        <f aca="false">-(Hypotheses!D30+Hypotheses!D31)</f>
        <v>-750</v>
      </c>
      <c r="AH25" s="16" t="n">
        <f aca="false">-(Hypotheses!D30+Hypotheses!D31)</f>
        <v>-750</v>
      </c>
      <c r="AI25" s="16" t="n">
        <f aca="false">-(Hypotheses!D30+Hypotheses!D31)</f>
        <v>-750</v>
      </c>
      <c r="AJ25" s="16" t="n">
        <f aca="false">-(Hypotheses!D30+Hypotheses!D31)</f>
        <v>-750</v>
      </c>
      <c r="AK25" s="16" t="n">
        <f aca="false">-(Hypotheses!D30+Hypotheses!D31)</f>
        <v>-750</v>
      </c>
      <c r="AL25" s="16" t="n">
        <f aca="false">-(Hypotheses!D30+Hypotheses!D31)</f>
        <v>-750</v>
      </c>
    </row>
    <row r="26" customFormat="false" ht="15" hidden="false" customHeight="false" outlineLevel="0" collapsed="false">
      <c r="A26" s="10" t="s">
        <v>98</v>
      </c>
      <c r="B26" s="16" t="n">
        <f aca="false">-B7*Hypotheses!D15</f>
        <v>-0</v>
      </c>
      <c r="C26" s="16" t="n">
        <f aca="false">-C7*Hypotheses!D15</f>
        <v>-6666.66666666667</v>
      </c>
      <c r="D26" s="16" t="n">
        <f aca="false">-D7*Hypotheses!D15</f>
        <v>-6666.66666666667</v>
      </c>
      <c r="E26" s="16" t="n">
        <f aca="false">-E7*Hypotheses!D15</f>
        <v>-6666.66666666667</v>
      </c>
      <c r="F26" s="16" t="n">
        <f aca="false">-F7*Hypotheses!D15</f>
        <v>-10000</v>
      </c>
      <c r="G26" s="16" t="n">
        <f aca="false">-G7*Hypotheses!D15</f>
        <v>-10000</v>
      </c>
      <c r="H26" s="16" t="n">
        <f aca="false">-H7*Hypotheses!D15</f>
        <v>-10000</v>
      </c>
      <c r="I26" s="16" t="n">
        <f aca="false">-I7*Hypotheses!D15</f>
        <v>-13333.3333333333</v>
      </c>
      <c r="J26" s="16" t="n">
        <f aca="false">-J7*Hypotheses!D15</f>
        <v>-13333.3333333333</v>
      </c>
      <c r="K26" s="16" t="n">
        <f aca="false">-K7*Hypotheses!D15</f>
        <v>-13333.3333333333</v>
      </c>
      <c r="L26" s="16" t="n">
        <f aca="false">-L7*Hypotheses!D15</f>
        <v>-13333.3333333333</v>
      </c>
      <c r="M26" s="16" t="n">
        <f aca="false">-M7*Hypotheses!D15</f>
        <v>-13333.3333333333</v>
      </c>
      <c r="N26" s="16" t="n">
        <f aca="false">-N7*Hypotheses!D15</f>
        <v>-13333.3333333333</v>
      </c>
      <c r="O26" s="16" t="n">
        <f aca="false">-O7*Hypotheses!D15</f>
        <v>-33333.3333333333</v>
      </c>
      <c r="P26" s="16" t="n">
        <f aca="false">-P7*Hypotheses!D15</f>
        <v>-33333.3333333333</v>
      </c>
      <c r="Q26" s="16" t="n">
        <f aca="false">-Q7*Hypotheses!D15</f>
        <v>-33333.3333333333</v>
      </c>
      <c r="R26" s="16" t="n">
        <f aca="false">-R7*Hypotheses!D15</f>
        <v>-33333.3333333333</v>
      </c>
      <c r="S26" s="16" t="n">
        <f aca="false">-S7*Hypotheses!D15</f>
        <v>-33333.3333333333</v>
      </c>
      <c r="T26" s="16" t="n">
        <f aca="false">-T7*Hypotheses!D15</f>
        <v>-33333.3333333333</v>
      </c>
      <c r="U26" s="16" t="n">
        <f aca="false">-U7*Hypotheses!D15</f>
        <v>-33333.3333333333</v>
      </c>
      <c r="V26" s="16" t="n">
        <f aca="false">-V7*Hypotheses!D15</f>
        <v>-33333.3333333333</v>
      </c>
      <c r="W26" s="16" t="n">
        <f aca="false">-W7*Hypotheses!D15</f>
        <v>-33333.3333333333</v>
      </c>
      <c r="X26" s="16" t="n">
        <f aca="false">-X7*Hypotheses!D15</f>
        <v>-33333.3333333333</v>
      </c>
      <c r="Y26" s="16" t="n">
        <f aca="false">-Y7*Hypotheses!D15</f>
        <v>-33333.3333333333</v>
      </c>
      <c r="Z26" s="16" t="n">
        <f aca="false">-Z7*Hypotheses!D15</f>
        <v>-33333.3333333333</v>
      </c>
      <c r="AA26" s="16" t="n">
        <f aca="false">-AA7*Hypotheses!D15</f>
        <v>-60000</v>
      </c>
      <c r="AB26" s="16" t="n">
        <f aca="false">-AB7*Hypotheses!D15</f>
        <v>-60000</v>
      </c>
      <c r="AC26" s="16" t="n">
        <f aca="false">-AC7*Hypotheses!D15</f>
        <v>-60000</v>
      </c>
      <c r="AD26" s="16" t="n">
        <f aca="false">-AD7*Hypotheses!D15</f>
        <v>-60000</v>
      </c>
      <c r="AE26" s="16" t="n">
        <f aca="false">-AE7*Hypotheses!D15</f>
        <v>-60000</v>
      </c>
      <c r="AF26" s="16" t="n">
        <f aca="false">-AF7*Hypotheses!D15</f>
        <v>-60000</v>
      </c>
      <c r="AG26" s="16" t="n">
        <f aca="false">-AG7*Hypotheses!D15</f>
        <v>-60000</v>
      </c>
      <c r="AH26" s="16" t="n">
        <f aca="false">-AH7*Hypotheses!D15</f>
        <v>-60000</v>
      </c>
      <c r="AI26" s="16" t="n">
        <f aca="false">-AI7*Hypotheses!D15</f>
        <v>-60000</v>
      </c>
      <c r="AJ26" s="16" t="n">
        <f aca="false">-AJ7*Hypotheses!D15</f>
        <v>-60000</v>
      </c>
      <c r="AK26" s="16" t="n">
        <f aca="false">-AK7*Hypotheses!D15</f>
        <v>-60000</v>
      </c>
      <c r="AL26" s="16" t="n">
        <f aca="false">-AL7*Hypotheses!D15</f>
        <v>-60000</v>
      </c>
    </row>
    <row r="27" customFormat="false" ht="15" hidden="false" customHeight="false" outlineLevel="0" collapsed="false">
      <c r="A27" s="10" t="s">
        <v>99</v>
      </c>
      <c r="B27" s="16" t="n">
        <v>0</v>
      </c>
      <c r="C27" s="16" t="n">
        <f aca="false">-Hypotheses!D34/3</f>
        <v>-500</v>
      </c>
      <c r="D27" s="16" t="n">
        <f aca="false">-Hypotheses!D34/3</f>
        <v>-500</v>
      </c>
      <c r="E27" s="16" t="n">
        <f aca="false">-Hypotheses!D34/3</f>
        <v>-500</v>
      </c>
      <c r="F27" s="16" t="n">
        <v>0</v>
      </c>
      <c r="G27" s="16" t="n">
        <v>0</v>
      </c>
      <c r="H27" s="16" t="n">
        <v>0</v>
      </c>
      <c r="I27" s="16" t="n">
        <f aca="false">-Hypotheses!D35/3</f>
        <v>-666.666666666667</v>
      </c>
      <c r="J27" s="16" t="n">
        <f aca="false">-Hypotheses!D35/3</f>
        <v>-666.666666666667</v>
      </c>
      <c r="K27" s="16" t="n">
        <f aca="false">-Hypotheses!D35/3</f>
        <v>-666.666666666667</v>
      </c>
      <c r="L27" s="16" t="n">
        <f aca="false">-Hypotheses!D36/3</f>
        <v>-833.333333333333</v>
      </c>
      <c r="M27" s="16" t="n">
        <f aca="false">-Hypotheses!D36/3</f>
        <v>-833.333333333333</v>
      </c>
      <c r="N27" s="16" t="n">
        <f aca="false">-Hypotheses!D36/3</f>
        <v>-833.333333333333</v>
      </c>
      <c r="O27" s="16" t="n">
        <v>0</v>
      </c>
      <c r="P27" s="16" t="n">
        <v>0</v>
      </c>
      <c r="Q27" s="16" t="n">
        <v>0</v>
      </c>
      <c r="R27" s="16" t="n">
        <f aca="false">-Hypotheses!D37/3</f>
        <v>-266.666666666667</v>
      </c>
      <c r="S27" s="16" t="n">
        <f aca="false">-Hypotheses!D37/3</f>
        <v>-266.666666666667</v>
      </c>
      <c r="T27" s="16" t="n">
        <f aca="false">-Hypotheses!D37/3</f>
        <v>-266.666666666667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</row>
    <row r="28" customFormat="false" ht="15" hidden="false" customHeight="false" outlineLevel="0" collapsed="false">
      <c r="A28" s="10" t="s">
        <v>100</v>
      </c>
      <c r="B28" s="16" t="n">
        <f aca="false">IF(0&gt;=Hypotheses!D41,-B17*Hypotheses!D40,0)</f>
        <v>0</v>
      </c>
      <c r="C28" s="16" t="n">
        <f aca="false">IF(1&gt;=Hypotheses!D41,-C17*Hypotheses!D40,0)</f>
        <v>0</v>
      </c>
      <c r="D28" s="16" t="n">
        <f aca="false">IF(2&gt;=Hypotheses!D41,-D17*Hypotheses!D40,0)</f>
        <v>0</v>
      </c>
      <c r="E28" s="16" t="n">
        <f aca="false">IF(3&gt;=Hypotheses!D41,-E17*Hypotheses!D40,0)</f>
        <v>0</v>
      </c>
      <c r="F28" s="16" t="n">
        <f aca="false">IF(4&gt;=Hypotheses!D41,-F17*Hypotheses!D40,0)</f>
        <v>0</v>
      </c>
      <c r="G28" s="16" t="n">
        <f aca="false">IF(5&gt;=Hypotheses!D41,-G17*Hypotheses!D40,0)</f>
        <v>0</v>
      </c>
      <c r="H28" s="16" t="n">
        <f aca="false">IF(6&gt;=Hypotheses!D41,-H17*Hypotheses!D40,0)</f>
        <v>-1053.22916666667</v>
      </c>
      <c r="I28" s="16" t="n">
        <f aca="false">IF(7&gt;=Hypotheses!D41,-I17*Hypotheses!D40,0)</f>
        <v>-1323.54166666667</v>
      </c>
      <c r="J28" s="16" t="n">
        <f aca="false">IF(8&gt;=Hypotheses!D41,-J17*Hypotheses!D40,0)</f>
        <v>-1587.8125</v>
      </c>
      <c r="K28" s="16" t="n">
        <f aca="false">IF(9&gt;=Hypotheses!D41,-K17*Hypotheses!D40,0)</f>
        <v>-1836.14583333333</v>
      </c>
      <c r="L28" s="16" t="n">
        <f aca="false">IF(10&gt;=Hypotheses!D41,-L17*Hypotheses!D40,0)</f>
        <v>-2078.4375</v>
      </c>
      <c r="M28" s="16" t="n">
        <f aca="false">IF(11&gt;=Hypotheses!D41,-M17*Hypotheses!D40,0)</f>
        <v>-2317.70833333333</v>
      </c>
      <c r="N28" s="16" t="n">
        <f aca="false">IF(12&gt;=Hypotheses!D41,-N17*Hypotheses!D40,0)</f>
        <v>-2550.9375</v>
      </c>
      <c r="O28" s="16" t="n">
        <f aca="false">IF(13&gt;=Hypotheses!D41,-O17*Hypotheses!D40,0)</f>
        <v>-3221.77083333333</v>
      </c>
      <c r="P28" s="16" t="n">
        <f aca="false">IF(14&gt;=Hypotheses!D41,-P17*Hypotheses!D40,0)</f>
        <v>-3877.5</v>
      </c>
      <c r="Q28" s="16" t="n">
        <f aca="false">IF(15&gt;=Hypotheses!D41,-Q17*Hypotheses!D40,0)</f>
        <v>-4511.25</v>
      </c>
      <c r="R28" s="16" t="n">
        <f aca="false">IF(16&gt;=Hypotheses!D41,-R17*Hypotheses!D40,0)</f>
        <v>-5129.89583333333</v>
      </c>
      <c r="S28" s="16" t="n">
        <f aca="false">IF(17&gt;=Hypotheses!D41,-S17*Hypotheses!D40,0)</f>
        <v>-5729.58333333333</v>
      </c>
      <c r="T28" s="16" t="n">
        <f aca="false">IF(18&gt;=Hypotheses!D41,-T17*Hypotheses!D40,0)</f>
        <v>-6307.29166666667</v>
      </c>
      <c r="U28" s="16" t="n">
        <f aca="false">IF(19&gt;=Hypotheses!D41,-U17*Hypotheses!D40,0)</f>
        <v>-6869.89583333333</v>
      </c>
      <c r="V28" s="16" t="n">
        <f aca="false">IF(20&gt;=Hypotheses!D41,-V17*Hypotheses!D40,0)</f>
        <v>-7413.54166666667</v>
      </c>
      <c r="W28" s="16" t="n">
        <f aca="false">IF(21&gt;=Hypotheses!D41,-W17*Hypotheses!D40,0)</f>
        <v>-7935.20833333333</v>
      </c>
      <c r="X28" s="16" t="n">
        <f aca="false">IF(22&gt;=Hypotheses!D41,-X17*Hypotheses!D40,0)</f>
        <v>-8447.8125</v>
      </c>
      <c r="Y28" s="16" t="n">
        <f aca="false">IF(23&gt;=Hypotheses!D41,-Y17*Hypotheses!D40,0)</f>
        <v>-8951.35416666667</v>
      </c>
      <c r="Z28" s="16" t="n">
        <f aca="false">IF(24&gt;=Hypotheses!D41,-Z17*Hypotheses!D40,0)</f>
        <v>-9432.91666666667</v>
      </c>
      <c r="AA28" s="16" t="n">
        <f aca="false">IF(25&gt;=Hypotheses!D41,-AA17*Hypotheses!D40,0)</f>
        <v>-10505.1041666667</v>
      </c>
      <c r="AB28" s="16" t="n">
        <f aca="false">IF(26&gt;=Hypotheses!D41,-AB17*Hypotheses!D40,0)</f>
        <v>-11536.3541666667</v>
      </c>
      <c r="AC28" s="16" t="n">
        <f aca="false">IF(27&gt;=Hypotheses!D41,-AC17*Hypotheses!D40,0)</f>
        <v>-12546.4583333333</v>
      </c>
      <c r="AD28" s="16" t="n">
        <f aca="false">IF(28&gt;=Hypotheses!D41,-AD17*Hypotheses!D40,0)</f>
        <v>-13518.6458333333</v>
      </c>
      <c r="AE28" s="16" t="n">
        <f aca="false">IF(29&gt;=Hypotheses!D41,-AE17*Hypotheses!D40,0)</f>
        <v>-14469.6875</v>
      </c>
      <c r="AF28" s="16" t="n">
        <f aca="false">IF(30&gt;=Hypotheses!D41,-AF17*Hypotheses!D40,0)</f>
        <v>-15379.7916666667</v>
      </c>
      <c r="AG28" s="16" t="n">
        <f aca="false">IF(31&gt;=Hypotheses!D41,-AG17*Hypotheses!D40,0)</f>
        <v>-16274.7916666667</v>
      </c>
      <c r="AH28" s="16" t="n">
        <f aca="false">IF(32&gt;=Hypotheses!D41,-AH17*Hypotheses!D40,0)</f>
        <v>-17128.8541666667</v>
      </c>
      <c r="AI28" s="16" t="n">
        <f aca="false">IF(33&gt;=Hypotheses!D41,-AI17*Hypotheses!D40,0)</f>
        <v>-17967.8125</v>
      </c>
      <c r="AJ28" s="16" t="n">
        <f aca="false">IF(34&gt;=Hypotheses!D41,-AJ17*Hypotheses!D40,0)</f>
        <v>-18791.6666666667</v>
      </c>
      <c r="AK28" s="16" t="n">
        <f aca="false">IF(35&gt;=Hypotheses!D41,-AK17*Hypotheses!D40,0)</f>
        <v>-19577.6041666667</v>
      </c>
      <c r="AL28" s="16" t="n">
        <f aca="false">IF(36&gt;=Hypotheses!D41,-AL17*Hypotheses!D40,0)</f>
        <v>-20335.5208333333</v>
      </c>
    </row>
    <row r="30" customFormat="false" ht="15" hidden="false" customHeight="false" outlineLevel="0" collapsed="false">
      <c r="A30" s="18" t="s">
        <v>101</v>
      </c>
      <c r="B30" s="19" t="n">
        <f aca="false">B23+B25+B26+B27+B28</f>
        <v>-220</v>
      </c>
      <c r="C30" s="19" t="n">
        <f aca="false">C23+C25+C26+C27+C28</f>
        <v>-6696.61166666667</v>
      </c>
      <c r="D30" s="19" t="n">
        <f aca="false">D23+D25+D26+D27+D28</f>
        <v>-6006.55666666667</v>
      </c>
      <c r="E30" s="19" t="n">
        <f aca="false">E23+E25+E26+E27+E28</f>
        <v>-5363.17166666667</v>
      </c>
      <c r="F30" s="19" t="n">
        <f aca="false">F23+F25+F26+F27+F28</f>
        <v>-5516.41</v>
      </c>
      <c r="G30" s="19" t="n">
        <f aca="false">G23+G25+G26+G27+G28</f>
        <v>-4021.025</v>
      </c>
      <c r="H30" s="19" t="n">
        <f aca="false">H23+H25+H26+H27+H28</f>
        <v>-3702.96416666667</v>
      </c>
      <c r="I30" s="19" t="n">
        <f aca="false">I23+I25+I26+I27+I28</f>
        <v>-6166.35166666667</v>
      </c>
      <c r="J30" s="19" t="n">
        <f aca="false">J23+J25+J26+J27+J28</f>
        <v>-4540.3675</v>
      </c>
      <c r="K30" s="19" t="n">
        <f aca="false">K23+K25+K26+K27+K28</f>
        <v>-3022.54083333333</v>
      </c>
      <c r="L30" s="19" t="n">
        <f aca="false">L23+L25+L26+L27+L28</f>
        <v>-1712.00916666667</v>
      </c>
      <c r="M30" s="19" t="n">
        <f aca="false">M23+M25+M26+M27+M28</f>
        <v>-255.125000000001</v>
      </c>
      <c r="N30" s="19" t="n">
        <f aca="false">N23+N25+N26+N27+N28</f>
        <v>1161.13083333333</v>
      </c>
      <c r="O30" s="19" t="n">
        <f aca="false">O23+O25+O26+O27+O28</f>
        <v>-13872.7691666667</v>
      </c>
      <c r="P30" s="19" t="n">
        <f aca="false">P23+P25+P26+P27+P28</f>
        <v>-9841.57333333333</v>
      </c>
      <c r="Q30" s="19" t="n">
        <f aca="false">Q23+Q25+Q26+Q27+Q28</f>
        <v>-5959.16333333333</v>
      </c>
      <c r="R30" s="19" t="n">
        <f aca="false">R23+R25+R26+R27+R28</f>
        <v>-2444.99083333332</v>
      </c>
      <c r="S30" s="19" t="n">
        <f aca="false">S23+S25+S26+S27+S28</f>
        <v>1207.37666666667</v>
      </c>
      <c r="T30" s="19" t="n">
        <f aca="false">T23+T25+T26+T27+T28</f>
        <v>4710.95833333334</v>
      </c>
      <c r="U30" s="19" t="n">
        <f aca="false">U23+U25+U26+U27+U28</f>
        <v>7979.63583333334</v>
      </c>
      <c r="V30" s="19" t="n">
        <f aca="false">V23+V25+V26+V27+V28</f>
        <v>11253.175</v>
      </c>
      <c r="W30" s="19" t="n">
        <f aca="false">W23+W25+W26+W27+W28</f>
        <v>14377.9283333333</v>
      </c>
      <c r="X30" s="19" t="n">
        <f aca="false">X23+X25+X26+X27+X28</f>
        <v>17441.7391666667</v>
      </c>
      <c r="Y30" s="19" t="n">
        <f aca="false">Y23+Y25+Y26+Y27+Y28</f>
        <v>20444.6075</v>
      </c>
      <c r="Z30" s="19" t="n">
        <f aca="false">Z23+Z25+Z26+Z27+Z28</f>
        <v>23298.69</v>
      </c>
      <c r="AA30" s="19" t="n">
        <f aca="false">AA23+AA25+AA26+AA27+AA28</f>
        <v>3157.53083333334</v>
      </c>
      <c r="AB30" s="19" t="n">
        <f aca="false">AB23+AB25+AB26+AB27+AB28</f>
        <v>9405.78083333334</v>
      </c>
      <c r="AC30" s="19" t="n">
        <f aca="false">AC23+AC25+AC26+AC27+AC28</f>
        <v>15511.8316666667</v>
      </c>
      <c r="AD30" s="19" t="n">
        <f aca="false">AD23+AD25+AD26+AD27+AD28</f>
        <v>21360.9391666667</v>
      </c>
      <c r="AE30" s="19" t="n">
        <f aca="false">AE23+AE25+AE26+AE27+AE28</f>
        <v>27067.8475</v>
      </c>
      <c r="AF30" s="19" t="n">
        <f aca="false">AF23+AF25+AF26+AF27+AF28</f>
        <v>32497.4983333333</v>
      </c>
      <c r="AG30" s="19" t="n">
        <f aca="false">AG23+AG25+AG26+AG27+AG28</f>
        <v>37825.5783333333</v>
      </c>
      <c r="AH30" s="19" t="n">
        <f aca="false">AH23+AH25+AH26+AH27+AH28</f>
        <v>42876.4008333334</v>
      </c>
      <c r="AI30" s="19" t="n">
        <f aca="false">AI23+AI25+AI26+AI27+AI28</f>
        <v>47825.6525</v>
      </c>
      <c r="AJ30" s="19" t="n">
        <f aca="false">AJ23+AJ25+AJ26+AJ27+AJ28</f>
        <v>52673.3333333333</v>
      </c>
      <c r="AK30" s="19" t="n">
        <f aca="false">AK23+AK25+AK26+AK27+AK28</f>
        <v>57264.0708333333</v>
      </c>
      <c r="AL30" s="19" t="n">
        <f aca="false">AL23+AL25+AL26+AL27+AL28</f>
        <v>61665.3941666667</v>
      </c>
    </row>
    <row r="32" customFormat="false" ht="15" hidden="false" customHeight="false" outlineLevel="0" collapsed="false">
      <c r="A32" s="18" t="s">
        <v>102</v>
      </c>
      <c r="B32" s="19" t="n">
        <f aca="false">B30</f>
        <v>-220</v>
      </c>
      <c r="C32" s="19" t="n">
        <f aca="false">B32+C30</f>
        <v>-6916.61166666667</v>
      </c>
      <c r="D32" s="19" t="n">
        <f aca="false">C32+D30</f>
        <v>-12923.1683333333</v>
      </c>
      <c r="E32" s="19" t="n">
        <f aca="false">D32+E30</f>
        <v>-18286.34</v>
      </c>
      <c r="F32" s="19" t="n">
        <f aca="false">E32+F30</f>
        <v>-23802.75</v>
      </c>
      <c r="G32" s="19" t="n">
        <f aca="false">F32+G30</f>
        <v>-27823.775</v>
      </c>
      <c r="H32" s="19" t="n">
        <f aca="false">G32+H30</f>
        <v>-31526.7391666667</v>
      </c>
      <c r="I32" s="19" t="n">
        <f aca="false">H32+I30</f>
        <v>-37693.0908333333</v>
      </c>
      <c r="J32" s="19" t="n">
        <f aca="false">I32+J30</f>
        <v>-42233.4583333333</v>
      </c>
      <c r="K32" s="19" t="n">
        <f aca="false">J32+K30</f>
        <v>-45255.9991666667</v>
      </c>
      <c r="L32" s="19" t="n">
        <f aca="false">K32+L30</f>
        <v>-46968.0083333333</v>
      </c>
      <c r="M32" s="19" t="n">
        <f aca="false">L32+M30</f>
        <v>-47223.1333333333</v>
      </c>
      <c r="N32" s="19" t="n">
        <f aca="false">M32+N30</f>
        <v>-46062.0025</v>
      </c>
      <c r="O32" s="19" t="n">
        <f aca="false">N32+O30</f>
        <v>-59934.7716666667</v>
      </c>
      <c r="P32" s="19" t="n">
        <f aca="false">O32+P30</f>
        <v>-69776.345</v>
      </c>
      <c r="Q32" s="19" t="n">
        <f aca="false">P32+Q30</f>
        <v>-75735.5083333333</v>
      </c>
      <c r="R32" s="19" t="n">
        <f aca="false">Q32+R30</f>
        <v>-78180.4991666666</v>
      </c>
      <c r="S32" s="19" t="n">
        <f aca="false">R32+S30</f>
        <v>-76973.1225</v>
      </c>
      <c r="T32" s="19" t="n">
        <f aca="false">S32+T30</f>
        <v>-72262.1641666666</v>
      </c>
      <c r="U32" s="19" t="n">
        <f aca="false">T32+U30</f>
        <v>-64282.5283333333</v>
      </c>
      <c r="V32" s="19" t="n">
        <f aca="false">U32+V30</f>
        <v>-53029.3533333333</v>
      </c>
      <c r="W32" s="19" t="n">
        <f aca="false">V32+W30</f>
        <v>-38651.4249999999</v>
      </c>
      <c r="X32" s="19" t="n">
        <f aca="false">W32+X30</f>
        <v>-21209.6858333333</v>
      </c>
      <c r="Y32" s="19" t="n">
        <f aca="false">X32+Y30</f>
        <v>-765.078333333255</v>
      </c>
      <c r="Z32" s="19" t="n">
        <f aca="false">Y32+Z30</f>
        <v>22533.6116666668</v>
      </c>
      <c r="AA32" s="19" t="n">
        <f aca="false">Z32+AA30</f>
        <v>25691.1425000001</v>
      </c>
      <c r="AB32" s="19" t="n">
        <f aca="false">AA32+AB30</f>
        <v>35096.9233333335</v>
      </c>
      <c r="AC32" s="19" t="n">
        <f aca="false">AB32+AC30</f>
        <v>50608.7550000001</v>
      </c>
      <c r="AD32" s="19" t="n">
        <f aca="false">AC32+AD30</f>
        <v>71969.6941666668</v>
      </c>
      <c r="AE32" s="19" t="n">
        <f aca="false">AD32+AE30</f>
        <v>99037.5416666668</v>
      </c>
      <c r="AF32" s="19" t="n">
        <f aca="false">AE32+AF30</f>
        <v>131535.04</v>
      </c>
      <c r="AG32" s="19" t="n">
        <f aca="false">AF32+AG30</f>
        <v>169360.618333334</v>
      </c>
      <c r="AH32" s="19" t="n">
        <f aca="false">AG32+AH30</f>
        <v>212237.019166667</v>
      </c>
      <c r="AI32" s="19" t="n">
        <f aca="false">AH32+AI30</f>
        <v>260062.671666667</v>
      </c>
      <c r="AJ32" s="19" t="n">
        <f aca="false">AI32+AJ30</f>
        <v>312736.005</v>
      </c>
      <c r="AK32" s="19" t="n">
        <f aca="false">AJ32+AK30</f>
        <v>370000.075833334</v>
      </c>
      <c r="AL32" s="19" t="n">
        <f aca="false">AK32+AL30</f>
        <v>431665.47</v>
      </c>
    </row>
  </sheetData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106</v>
      </c>
      <c r="B3" s="2" t="s">
        <v>2</v>
      </c>
      <c r="C3" s="2" t="s">
        <v>3</v>
      </c>
      <c r="D3" s="2" t="s">
        <v>4</v>
      </c>
      <c r="E3" s="2" t="s">
        <v>5</v>
      </c>
    </row>
    <row r="5" customFormat="false" ht="15" hidden="false" customHeight="false" outlineLevel="0" collapsed="false">
      <c r="A5" s="10" t="s">
        <v>107</v>
      </c>
      <c r="B5" s="20" t="n">
        <f aca="false">Pessimiste!N18</f>
        <v>2320</v>
      </c>
      <c r="C5" s="20" t="n">
        <f aca="false">Median!N18</f>
        <v>41130</v>
      </c>
      <c r="D5" s="20" t="n">
        <f aca="false">Optimiste!N18</f>
        <v>244890</v>
      </c>
      <c r="E5" s="0" t="s">
        <v>108</v>
      </c>
    </row>
    <row r="6" customFormat="false" ht="15" hidden="false" customHeight="false" outlineLevel="0" collapsed="false">
      <c r="A6" s="10" t="s">
        <v>109</v>
      </c>
      <c r="B6" s="20" t="n">
        <f aca="false">Pessimiste!Z18</f>
        <v>5500</v>
      </c>
      <c r="C6" s="20" t="n">
        <f aca="false">Median!Z18</f>
        <v>119910</v>
      </c>
      <c r="D6" s="20" t="n">
        <f aca="false">Optimiste!Z18</f>
        <v>905560</v>
      </c>
      <c r="E6" s="0" t="s">
        <v>110</v>
      </c>
    </row>
    <row r="7" customFormat="false" ht="15" hidden="false" customHeight="false" outlineLevel="0" collapsed="false">
      <c r="A7" s="10" t="s">
        <v>111</v>
      </c>
      <c r="B7" s="20" t="n">
        <f aca="false">Pessimiste!AL18</f>
        <v>7820</v>
      </c>
      <c r="C7" s="20" t="n">
        <f aca="false">Median!AL18</f>
        <v>220470</v>
      </c>
      <c r="D7" s="20" t="n">
        <f aca="false">Optimiste!AL18</f>
        <v>1952210</v>
      </c>
      <c r="E7" s="0" t="s">
        <v>112</v>
      </c>
    </row>
    <row r="8" customFormat="false" ht="15" hidden="false" customHeight="false" outlineLevel="0" collapsed="false">
      <c r="A8" s="10" t="s">
        <v>113</v>
      </c>
      <c r="B8" s="20" t="n">
        <f aca="false">Pessimiste!Z10</f>
        <v>17</v>
      </c>
      <c r="C8" s="20" t="n">
        <f aca="false">Median!Z10</f>
        <v>327</v>
      </c>
      <c r="D8" s="20" t="n">
        <f aca="false">Optimiste!Z10</f>
        <v>2094</v>
      </c>
    </row>
    <row r="9" customFormat="false" ht="15" hidden="false" customHeight="false" outlineLevel="0" collapsed="false">
      <c r="A9" s="10" t="s">
        <v>114</v>
      </c>
      <c r="B9" s="20" t="n">
        <f aca="false">Pessimiste!Z12</f>
        <v>1</v>
      </c>
      <c r="C9" s="20" t="n">
        <f aca="false">Median!Z12</f>
        <v>33</v>
      </c>
      <c r="D9" s="20" t="n">
        <f aca="false">Optimiste!Z12</f>
        <v>314</v>
      </c>
    </row>
    <row r="10" customFormat="false" ht="15" hidden="false" customHeight="false" outlineLevel="0" collapsed="false">
      <c r="A10" s="10" t="s">
        <v>115</v>
      </c>
      <c r="B10" s="20" t="n">
        <f aca="false">Pessimiste!Z32</f>
        <v>-51521.8425</v>
      </c>
      <c r="C10" s="20" t="n">
        <f aca="false">Median!Z32</f>
        <v>-148872.684166667</v>
      </c>
      <c r="D10" s="20" t="n">
        <f aca="false">Optimiste!Z32</f>
        <v>22533.6116666668</v>
      </c>
      <c r="E10" s="0" t="s">
        <v>116</v>
      </c>
    </row>
    <row r="11" customFormat="false" ht="15" hidden="false" customHeight="false" outlineLevel="0" collapsed="false">
      <c r="A11" s="10" t="s">
        <v>117</v>
      </c>
      <c r="B11" s="20" t="n">
        <f aca="false">Pessimiste!AL32</f>
        <v>-90925.5133333333</v>
      </c>
      <c r="C11" s="20" t="n">
        <f aca="false">Median!AL32</f>
        <v>-280095.761666667</v>
      </c>
      <c r="D11" s="20" t="n">
        <f aca="false">Optimiste!AL32</f>
        <v>431665.47</v>
      </c>
    </row>
    <row r="12" customFormat="false" ht="15" hidden="false" customHeight="false" outlineLevel="0" collapsed="false">
      <c r="A12" s="10" t="s">
        <v>118</v>
      </c>
      <c r="B12" s="20" t="n">
        <f aca="false">Pessimiste!Z30</f>
        <v>-2738.66666666667</v>
      </c>
      <c r="C12" s="20" t="n">
        <f aca="false">Median!Z30</f>
        <v>-6654.0725</v>
      </c>
      <c r="D12" s="20" t="n">
        <f aca="false">Optimiste!Z30</f>
        <v>23298.69</v>
      </c>
    </row>
    <row r="13" customFormat="false" ht="15" hidden="false" customHeight="false" outlineLevel="0" collapsed="false">
      <c r="A13" s="10" t="s">
        <v>119</v>
      </c>
      <c r="B13" s="20" t="n">
        <f aca="false">Pessimiste!AL30</f>
        <v>-3424.05333333333</v>
      </c>
      <c r="C13" s="20" t="n">
        <f aca="false">Median!AL30</f>
        <v>-9360.3325</v>
      </c>
      <c r="D13" s="20" t="n">
        <f aca="false">Optimiste!AL30</f>
        <v>61665.3941666667</v>
      </c>
    </row>
    <row r="15" customFormat="false" ht="15" hidden="false" customHeight="false" outlineLevel="0" collapsed="false">
      <c r="A15" s="6" t="s">
        <v>120</v>
      </c>
    </row>
    <row r="16" customFormat="false" ht="15" hidden="false" customHeight="false" outlineLevel="0" collapsed="false">
      <c r="A16" s="0" t="s">
        <v>121</v>
      </c>
      <c r="B16" s="21" t="n">
        <f aca="false">Hypotheses!B6</f>
        <v>24.1666666666667</v>
      </c>
      <c r="C16" s="21" t="n">
        <f aca="false">Hypotheses!C6</f>
        <v>24.1666666666667</v>
      </c>
      <c r="D16" s="21" t="n">
        <f aca="false">Hypotheses!D6</f>
        <v>24.1666666666667</v>
      </c>
    </row>
    <row r="17" customFormat="false" ht="15" hidden="false" customHeight="false" outlineLevel="0" collapsed="false">
      <c r="A17" s="0" t="s">
        <v>122</v>
      </c>
      <c r="B17" s="22" t="n">
        <f aca="false">1/Hypotheses!B14</f>
        <v>14.2857142857143</v>
      </c>
      <c r="C17" s="22" t="n">
        <f aca="false">1/Hypotheses!C14</f>
        <v>20</v>
      </c>
      <c r="D17" s="22" t="n">
        <f aca="false">1/Hypotheses!D14</f>
        <v>33.3333333333333</v>
      </c>
    </row>
    <row r="18" customFormat="false" ht="15" hidden="false" customHeight="false" outlineLevel="0" collapsed="false">
      <c r="A18" s="0" t="s">
        <v>123</v>
      </c>
      <c r="B18" s="21" t="n">
        <f aca="false">B16*B17</f>
        <v>345.238095238095</v>
      </c>
      <c r="C18" s="21" t="n">
        <f aca="false">C16*C17</f>
        <v>483.333333333333</v>
      </c>
      <c r="D18" s="21" t="n">
        <f aca="false">D16*D17</f>
        <v>805.555555555556</v>
      </c>
    </row>
    <row r="19" customFormat="false" ht="15" hidden="false" customHeight="false" outlineLevel="0" collapsed="false">
      <c r="A19" s="0" t="s">
        <v>124</v>
      </c>
      <c r="B19" s="21" t="n">
        <f aca="false">Hypotheses!B15</f>
        <v>800</v>
      </c>
      <c r="C19" s="21" t="n">
        <f aca="false">Hypotheses!C15</f>
        <v>400</v>
      </c>
      <c r="D19" s="21" t="n">
        <f aca="false">Hypotheses!D15</f>
        <v>200</v>
      </c>
    </row>
    <row r="20" customFormat="false" ht="15" hidden="false" customHeight="false" outlineLevel="0" collapsed="false">
      <c r="A20" s="0" t="s">
        <v>125</v>
      </c>
      <c r="B20" s="23" t="n">
        <f aca="false">B18/B19</f>
        <v>0.431547619047619</v>
      </c>
      <c r="C20" s="23" t="n">
        <f aca="false">C18/C19</f>
        <v>1.20833333333333</v>
      </c>
      <c r="D20" s="23" t="n">
        <f aca="false">D18/D19</f>
        <v>4.02777777777778</v>
      </c>
      <c r="E20" s="4" t="s">
        <v>126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2026-05-26T12:49:07Z</dcterms:created>
  <dc:creator>openpyxl</dc:creator>
  <dc:description/>
  <dc:language>en-US</dc:language>
  <cp:lastModifiedBy/>
  <dcterms:modified xsi:type="dcterms:W3CDTF">2026-05-26T12:49:07Z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